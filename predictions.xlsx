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afa\"/>
    </mc:Choice>
  </mc:AlternateContent>
  <xr:revisionPtr revIDLastSave="0" documentId="13_ncr:9_{440C8B1C-14A7-4EB0-9230-B3F43ABF2DD9}" xr6:coauthVersionLast="47" xr6:coauthVersionMax="47" xr10:uidLastSave="{00000000-0000-0000-0000-000000000000}"/>
  <bookViews>
    <workbookView xWindow="0" yWindow="360" windowWidth="19420" windowHeight="10300" xr2:uid="{41274D02-4495-4539-8C18-137014933B96}"/>
  </bookViews>
  <sheets>
    <sheet name="predictions" sheetId="1" r:id="rId1"/>
    <sheet name="Analisys" sheetId="2" r:id="rId2"/>
  </sheets>
  <definedNames>
    <definedName name="_xlnm._FilterDatabase" localSheetId="0" hidden="1">predictions!$A$1:$AD$574</definedName>
  </definedNames>
  <calcPr calcId="0"/>
  <pivotCaches>
    <pivotCache cacheId="6" r:id="rId3"/>
  </pivotCaches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2" i="1"/>
  <c r="Z573" i="1"/>
  <c r="Z574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2" i="1"/>
  <c r="V573" i="1"/>
  <c r="V574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" i="1"/>
  <c r="Z571" i="1"/>
  <c r="X28" i="1"/>
  <c r="V57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2" i="1"/>
</calcChain>
</file>

<file path=xl/sharedStrings.xml><?xml version="1.0" encoding="utf-8"?>
<sst xmlns="http://schemas.openxmlformats.org/spreadsheetml/2006/main" count="623" uniqueCount="64">
  <si>
    <t>Close</t>
  </si>
  <si>
    <t>High</t>
  </si>
  <si>
    <t>Low</t>
  </si>
  <si>
    <t>Open</t>
  </si>
  <si>
    <t>Volume</t>
  </si>
  <si>
    <t>SMA_FAST</t>
  </si>
  <si>
    <t>SMA_FAST_DIFF</t>
  </si>
  <si>
    <t>SMA_SLOW</t>
  </si>
  <si>
    <t>SMA_SLOW_DIFF</t>
  </si>
  <si>
    <t>SMA_DIFFERENCE</t>
  </si>
  <si>
    <t>RSI_14</t>
  </si>
  <si>
    <t>RSI_14_DIFF</t>
  </si>
  <si>
    <t>Low_prev1</t>
  </si>
  <si>
    <t>Low_prev2</t>
  </si>
  <si>
    <t>High_prev1</t>
  </si>
  <si>
    <t>High_prev2</t>
  </si>
  <si>
    <t>IsMaxHighOfDay</t>
  </si>
  <si>
    <t>IsMinLowOfDay</t>
  </si>
  <si>
    <t>MaxHighPred</t>
  </si>
  <si>
    <t>MinLowPred</t>
  </si>
  <si>
    <t>10:00:00+00:00</t>
  </si>
  <si>
    <t>11:00:00+00:00</t>
  </si>
  <si>
    <t>12:00:00+00:00</t>
  </si>
  <si>
    <t>13:00:00+00:00</t>
  </si>
  <si>
    <t>14:00:00+00:00</t>
  </si>
  <si>
    <t>15:00:00+00:00</t>
  </si>
  <si>
    <t>16:00:00+00:00</t>
  </si>
  <si>
    <t>17:00:00+00:00</t>
  </si>
  <si>
    <t>19:00:00+00:00</t>
  </si>
  <si>
    <t>00:00:00+00:00</t>
  </si>
  <si>
    <t>01:00:00+00:00</t>
  </si>
  <si>
    <t>02:00:00+00:00</t>
  </si>
  <si>
    <t>03:00:00+00:00</t>
  </si>
  <si>
    <t>04:00:00+00:00</t>
  </si>
  <si>
    <t>06:00:00+00:00</t>
  </si>
  <si>
    <t>07:00:00+00:00</t>
  </si>
  <si>
    <t>08:00:00+00:00</t>
  </si>
  <si>
    <t>09:00:00+00:00</t>
  </si>
  <si>
    <t>18:00:00+00:00</t>
  </si>
  <si>
    <t>20:00:00+00:00</t>
  </si>
  <si>
    <t>22:00:00+00:00</t>
  </si>
  <si>
    <t>05:00:00+00:00</t>
  </si>
  <si>
    <t>23:00:00+00:00</t>
  </si>
  <si>
    <t>Time</t>
  </si>
  <si>
    <t>Date</t>
  </si>
  <si>
    <t>SMA_FAST_MOV</t>
  </si>
  <si>
    <t>SMA_SLOW_MOV</t>
  </si>
  <si>
    <t>SMA_CROSS</t>
  </si>
  <si>
    <t>RSI_14_MOV</t>
  </si>
  <si>
    <t>Etiquetas de fila</t>
  </si>
  <si>
    <t>DOWN</t>
  </si>
  <si>
    <t>UP</t>
  </si>
  <si>
    <t>Total general</t>
  </si>
  <si>
    <t>Cuenta de SMA_CROSS</t>
  </si>
  <si>
    <t>Cuenta de RSI_14_MOV</t>
  </si>
  <si>
    <t>Suma de IsMaxHighOfDay</t>
  </si>
  <si>
    <t>43.7274500017869-53.7274500017869</t>
  </si>
  <si>
    <t>53.7274500017869-63.7274500017869</t>
  </si>
  <si>
    <t>63.7274500017869-73.7274500017869</t>
  </si>
  <si>
    <t>73.7274500017869-83.7274500017869</t>
  </si>
  <si>
    <t>Low_prev_diff</t>
  </si>
  <si>
    <t>Low_prev2_diff</t>
  </si>
  <si>
    <t>High_prev1_diff</t>
  </si>
  <si>
    <t>High_prev2_diff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</si>
</sst>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berto Cortes Zambrano" refreshedDate="45913.488666550926" createdVersion="8" refreshedVersion="8" minRefreshableVersion="3" recordCount="573" xr:uid="{4796C50E-B7F4-47F4-B01C-E3F12F8479F3}">
  <cacheSource type="worksheet">
    <worksheetSource ref="A1:AD574" sheet="predictions"/>
  </cacheSource>
  <cacheFields count="26">
    <cacheField name="Date" numFmtId="14">
      <sharedItems containsSemiMixedTypes="0" containsNonDate="0" containsDate="1" containsString="0" minDate="2025-08-05T00:00:00" maxDate="2025-09-13T00:00:00"/>
    </cacheField>
    <cacheField name="Time" numFmtId="0">
      <sharedItems/>
    </cacheField>
    <cacheField name="Close" numFmtId="0">
      <sharedItems containsSemiMixedTypes="0" containsString="0" containsNumber="1" minValue="1.1628500223159699" maxValue="1.1845500469207699"/>
    </cacheField>
    <cacheField name="High" numFmtId="0">
      <sharedItems containsSemiMixedTypes="0" containsString="0" containsNumber="1" minValue="1.1632499694824201" maxValue="1.1847000122070299"/>
    </cacheField>
    <cacheField name="Low" numFmtId="0">
      <sharedItems containsSemiMixedTypes="0" containsString="0" containsNumber="1" minValue="1.1624000072479199" maxValue="1.18385004997253"/>
    </cacheField>
    <cacheField name="Open" numFmtId="0">
      <sharedItems containsSemiMixedTypes="0" containsString="0" containsNumber="1" minValue="1.1624000072479199" maxValue="1.1845999956130899"/>
    </cacheField>
    <cacheField name="Volume" numFmtId="0">
      <sharedItems containsSemiMixedTypes="0" containsString="0" containsNumber="1" containsInteger="1" minValue="0" maxValue="58852"/>
    </cacheField>
    <cacheField name="SMA_FAST" numFmtId="0">
      <sharedItems containsSemiMixedTypes="0" containsString="0" containsNumber="1" minValue="1.16315999031066" maxValue="1.1838500022888101"/>
    </cacheField>
    <cacheField name="SMA_FAST_DIFF" numFmtId="0">
      <sharedItems containsSemiMixedTypes="0" containsString="0" containsNumber="1" minValue="-1.6099929809572E-3" maxValue="2.6200056076048899E-3"/>
    </cacheField>
    <cacheField name="SMA_FAST_MOV" numFmtId="0">
      <sharedItems/>
    </cacheField>
    <cacheField name="SMA_SLOW" numFmtId="0">
      <sharedItems containsSemiMixedTypes="0" containsString="0" containsNumber="1" minValue="1.16393399477005" maxValue="1.1808290052413899"/>
    </cacheField>
    <cacheField name="SMA_SLOW_DIFF" numFmtId="0">
      <sharedItems containsSemiMixedTypes="0" containsString="0" containsNumber="1" minValue="-2.7400016784673298E-4" maxValue="3.60000133514448E-4"/>
    </cacheField>
    <cacheField name="SMA_SLOW_MOV" numFmtId="0">
      <sharedItems/>
    </cacheField>
    <cacheField name="SMA_DIFFERENCE" numFmtId="0">
      <sharedItems containsSemiMixedTypes="0" containsString="0" containsNumber="1" minValue="-5.2469706535338504E-3" maxValue="8.4630060195922605E-3"/>
    </cacheField>
    <cacheField name="SMA_CROSS" numFmtId="0">
      <sharedItems count="2">
        <s v="DOWN"/>
        <s v="UP"/>
      </sharedItems>
    </cacheField>
    <cacheField name="RSI_14" numFmtId="0">
      <sharedItems containsSemiMixedTypes="0" containsString="0" containsNumber="1" minValue="23.727450001786899" maxValue="80.392429611176198" count="558">
        <n v="40.681503214941699"/>
        <n v="42.417285667488699"/>
        <n v="40.912778606174697"/>
        <n v="40.690963060351997"/>
        <n v="56.652273649114697"/>
        <n v="62.062469843459198"/>
        <n v="63.789626792684999"/>
        <n v="62.127974115250296"/>
        <n v="55.861007922879303"/>
        <n v="57.216600730019799"/>
        <n v="53.430074732210102"/>
        <n v="57.357439763952399"/>
        <n v="60.543111750835401"/>
        <n v="58.770453928651101"/>
        <n v="56.115634115782001"/>
        <n v="55.220425765827002"/>
        <n v="59.822804286303899"/>
        <n v="67.834226134171701"/>
        <n v="68.436434550953294"/>
        <n v="72.7037180424593"/>
        <n v="75.0473117503022"/>
        <n v="72.049177520566104"/>
        <n v="75.348622529426194"/>
        <n v="75.460189448289299"/>
        <n v="76.599102527678895"/>
        <n v="78.917583840633498"/>
        <n v="75.266820192896802"/>
        <n v="71.021786162785801"/>
        <n v="73.925530810118602"/>
        <n v="66.139359410206595"/>
        <n v="68.099329449439296"/>
        <n v="66.817629205651599"/>
        <n v="64.529142960054102"/>
        <n v="69.783272470967404"/>
        <n v="68.785970184612594"/>
        <n v="70.738137293206293"/>
        <n v="74.674213309844305"/>
        <n v="69.630501834465903"/>
        <n v="63.474677143809501"/>
        <n v="58.982980270044102"/>
        <n v="50.144819315626599"/>
        <n v="53.585905544337898"/>
        <n v="50.494804804090698"/>
        <n v="42.090379630367202"/>
        <n v="48.271428993791503"/>
        <n v="47.904680395804498"/>
        <n v="47.709035331016402"/>
        <n v="43.505355901798097"/>
        <n v="53.527645232121003"/>
        <n v="58.590987759529902"/>
        <n v="60.6128461034072"/>
        <n v="60.760076224088301"/>
        <n v="59.0931890395686"/>
        <n v="52.062093005549499"/>
        <n v="52.443037305495103"/>
        <n v="51.778105631626303"/>
        <n v="46.301980364352303"/>
        <n v="48.338868147439001"/>
        <n v="52.039293622445001"/>
        <n v="44.214424549705299"/>
        <n v="45.349436142230303"/>
        <n v="43.813792730156301"/>
        <n v="46.956807167836502"/>
        <n v="51.455291043915501"/>
        <n v="50.760002540608298"/>
        <n v="55.418915127818202"/>
        <n v="52.477914052463703"/>
        <n v="46.265717758215402"/>
        <n v="53.223071811042999"/>
        <n v="48.844579233809803"/>
        <n v="51.921050616090099"/>
        <n v="58.708928567422603"/>
        <n v="58.172788684668198"/>
        <n v="55.707720008816302"/>
        <n v="48.566758502675903"/>
        <n v="43.773917936651003"/>
        <n v="39.568684057496903"/>
        <n v="37.067481125511797"/>
        <n v="36.569748729312501"/>
        <n v="29.581333324138299"/>
        <n v="35.784578471195097"/>
        <n v="36.569278813130097"/>
        <n v="38.459385954071102"/>
        <n v="36.139916801033699"/>
        <n v="43.941938659108402"/>
        <n v="42.452661208670101"/>
        <n v="43.483747420133497"/>
        <n v="47.299046122250203"/>
        <n v="45.962338306346197"/>
        <n v="45.730648484432002"/>
        <n v="47.9913519006003"/>
        <n v="41.883975529849899"/>
        <n v="46.920431580719203"/>
        <n v="43.119492093919902"/>
        <n v="40.423300086076303"/>
        <n v="42.218871461099603"/>
        <n v="40.051906463953301"/>
        <n v="56.604326529880197"/>
        <n v="58.906240031194699"/>
        <n v="63.120505213206798"/>
        <n v="67.288399070721894"/>
        <n v="63.671803956001497"/>
        <n v="66.700806467924906"/>
        <n v="61.435433588929499"/>
        <n v="62.935770610325001"/>
        <n v="66.283086584333006"/>
        <n v="64.570178592294596"/>
        <n v="65.529498800980093"/>
        <n v="62.204470939363503"/>
        <n v="66.230253069665096"/>
        <n v="70.830984080415803"/>
        <n v="72.654819947562302"/>
        <n v="75.112378418022402"/>
        <n v="71.049232025092493"/>
        <n v="70.417947540455799"/>
        <n v="60.319148942228402"/>
        <n v="60.666342191529502"/>
        <n v="66.233407421837498"/>
        <n v="67.093051837788806"/>
        <n v="60.963405789029402"/>
        <n v="57.371193885973803"/>
        <n v="53.9478424151688"/>
        <n v="54.158042754832103"/>
        <n v="57.1124564687019"/>
        <n v="57.946522936867702"/>
        <n v="57.346003136392497"/>
        <n v="58.727859434730902"/>
        <n v="60.341821889626999"/>
        <n v="52.179874908657702"/>
        <n v="52.970168442468498"/>
        <n v="43.7452099592347"/>
        <n v="40.735279387783699"/>
        <n v="36.014200907459099"/>
        <n v="45.481462121119698"/>
        <n v="49.736021611778902"/>
        <n v="37.781842915633398"/>
        <n v="35.085738074591099"/>
        <n v="40.167873558778197"/>
        <n v="34.490295666104501"/>
        <n v="32.21773696372"/>
        <n v="34.1839184234844"/>
        <n v="36.418754522721102"/>
        <n v="38.900995512782103"/>
        <n v="39.410595972133898"/>
        <n v="40.215762541346997"/>
        <n v="41.609374008474902"/>
        <n v="42.475277301752499"/>
        <n v="46.729650043899497"/>
        <n v="48.107976498637697"/>
        <n v="53.074561864449997"/>
        <n v="58.280185890592001"/>
        <n v="59.9682422585186"/>
        <n v="58.5110951613323"/>
        <n v="60.077497061608703"/>
        <n v="66.635937948781105"/>
        <n v="69.937114374473396"/>
        <n v="65.298805021090004"/>
        <n v="63.780053963854499"/>
        <n v="62.221553650129998"/>
        <n v="63.190210663029099"/>
        <n v="62.756473651325003"/>
        <n v="63.563839562545802"/>
        <n v="68.037913121156507"/>
        <n v="61.284320886572502"/>
        <n v="55.724263973405499"/>
        <n v="55.338457449052903"/>
        <n v="58.440146927817302"/>
        <n v="59.6476321803299"/>
        <n v="56.551626761147297"/>
        <n v="49.791665243093"/>
        <n v="43.243591703116898"/>
        <n v="42.939093091624002"/>
        <n v="40.777492175691997"/>
        <n v="42.121945852418897"/>
        <n v="38.656427072112301"/>
        <n v="36.315565038317203"/>
        <n v="41.115647594011797"/>
        <n v="33.9511177608195"/>
        <n v="37.127387021627797"/>
        <n v="35.549678450072498"/>
        <n v="36.037148887767898"/>
        <n v="33.5733487610281"/>
        <n v="35.678441774857099"/>
        <n v="36.757616702187299"/>
        <n v="44.743591010937998"/>
        <n v="38.806561114581903"/>
        <n v="36.218783529907903"/>
        <n v="33.296814204093799"/>
        <n v="32.276756218416502"/>
        <n v="35.972786791730599"/>
        <n v="43.5556642989526"/>
        <n v="45.299055202729903"/>
        <n v="51.368294295581698"/>
        <n v="53.230784115309199"/>
        <n v="57.121896846948196"/>
        <n v="62.065488117043103"/>
        <n v="58.437089709711501"/>
        <n v="50.837113481533102"/>
        <n v="53.249499629769403"/>
        <n v="48.490354575476303"/>
        <n v="41.9660009975699"/>
        <n v="39.512820869684198"/>
        <n v="34.793835989033397"/>
        <n v="34.303550192688803"/>
        <n v="31.884847476023999"/>
        <n v="30.275509736340801"/>
        <n v="27.306919584417901"/>
        <n v="23.727450001786899"/>
        <n v="33.978459339980702"/>
        <n v="37.280244667615499"/>
        <n v="38.924926387520301"/>
        <n v="35.884784904686697"/>
        <n v="40.859156166278503"/>
        <n v="39.484235066201201"/>
        <n v="45.4164647491206"/>
        <n v="48.667732980189598"/>
        <n v="44.540582904630703"/>
        <n v="61.366513459365301"/>
        <n v="53.475979275599101"/>
        <n v="56.286063647627103"/>
        <n v="47.293104830330599"/>
        <n v="52.264583524625003"/>
        <n v="57.517889324505902"/>
        <n v="50.2815453330997"/>
        <n v="49.299366134366103"/>
        <n v="48.283662504684401"/>
        <n v="48.070551903968003"/>
        <n v="43.893359105445199"/>
        <n v="43.6891535491349"/>
        <n v="44.7961390009296"/>
        <n v="39.375469888964901"/>
        <n v="53.748643226400297"/>
        <n v="51.2177183146839"/>
        <n v="52.423781509573402"/>
        <n v="49.356774165990799"/>
        <n v="44.910525342453099"/>
        <n v="50.577151954727803"/>
        <n v="38.830530016380997"/>
        <n v="37.766347497720702"/>
        <n v="35.911311775501296"/>
        <n v="37.331691736617103"/>
        <n v="40.187960204903298"/>
        <n v="38.608748982928397"/>
        <n v="38.124925854866298"/>
        <n v="37.784843168627702"/>
        <n v="39.527607270247202"/>
        <n v="38.558520499060997"/>
        <n v="39.200019304689597"/>
        <n v="33.218170424423299"/>
        <n v="30.695766224689098"/>
        <n v="30.3851247770383"/>
        <n v="33.981757019226599"/>
        <n v="36.795721874484002"/>
        <n v="39.898968693074799"/>
        <n v="38.759961691463701"/>
        <n v="38.523433487711799"/>
        <n v="45.353660770795798"/>
        <n v="48.284832732523"/>
        <n v="42.5499526811439"/>
        <n v="76.489021386265506"/>
        <n v="74.684616091238297"/>
        <n v="75.778547610413597"/>
        <n v="78.246120472801394"/>
        <n v="71.232701930914402"/>
        <n v="69.507367196631805"/>
        <n v="70.028420251315296"/>
        <n v="66.171540144979602"/>
        <n v="64.955166496461601"/>
        <n v="59.640800268341003"/>
        <n v="59.062732930153601"/>
        <n v="60.171463159004198"/>
        <n v="62.496457648814697"/>
        <n v="61.810417972899501"/>
        <n v="58.146358256851599"/>
        <n v="63.403130827322897"/>
        <n v="56.034673497143103"/>
        <n v="57.552442329078303"/>
        <n v="52.837755286773202"/>
        <n v="51.145592881416903"/>
        <n v="55.571967447066797"/>
        <n v="55.157898085368203"/>
        <n v="51.178144199999799"/>
        <n v="42.699786963649998"/>
        <n v="39.202597071537099"/>
        <n v="36.4099491997572"/>
        <n v="30.355566884825201"/>
        <n v="28.399432687269101"/>
        <n v="33.262205116361699"/>
        <n v="32.805108200796901"/>
        <n v="31.9770805449274"/>
        <n v="47.790945554666699"/>
        <n v="42.353323218771699"/>
        <n v="43.393508422414698"/>
        <n v="40.877573643139101"/>
        <n v="41.455097971968598"/>
        <n v="45.645655182336803"/>
        <n v="41.435306041625097"/>
        <n v="39.668675087838501"/>
        <n v="39.390398413363897"/>
        <n v="48.855124480655498"/>
        <n v="49.030294037162797"/>
        <n v="53.327819183683701"/>
        <n v="50.226509907385697"/>
        <n v="51.994994803655899"/>
        <n v="52.718829987839399"/>
        <n v="52.909767278173"/>
        <n v="52.004560712662901"/>
        <n v="46.249985433738402"/>
        <n v="47.860775471622901"/>
        <n v="46.993967200411703"/>
        <n v="48.008028674667699"/>
        <n v="45.725622290784997"/>
        <n v="43.974549197144697"/>
        <n v="41.3510954542378"/>
        <n v="40.314797335587002"/>
        <n v="33.156952780553198"/>
        <n v="37.279559623893199"/>
        <n v="37.056050157668302"/>
        <n v="31.206558833456601"/>
        <n v="26.1485232228328"/>
        <n v="29.147216755673199"/>
        <n v="26.275170874317201"/>
        <n v="29.635186290936002"/>
        <n v="38.955901910977097"/>
        <n v="36.177011241255599"/>
        <n v="47.188775245108602"/>
        <n v="58.381702835976498"/>
        <n v="54.714141964638401"/>
        <n v="55.9071527005989"/>
        <n v="56.523871661527998"/>
        <n v="58.800006253850697"/>
        <n v="59.010373162614201"/>
        <n v="59.234001981539002"/>
        <n v="58.207211343732602"/>
        <n v="61.775623139251202"/>
        <n v="56.257327663124002"/>
        <n v="54.298989684567502"/>
        <n v="53.299153983160402"/>
        <n v="55.0799701757566"/>
        <n v="52.2214749322074"/>
        <n v="55.047595949848898"/>
        <n v="59.876911622707603"/>
        <n v="68.795425385261396"/>
        <n v="64.391585093579593"/>
        <n v="66.142256811132597"/>
        <n v="67.481342772141403"/>
        <n v="66.270945381878306"/>
        <n v="66.699606938480301"/>
        <n v="73.133456983052795"/>
        <n v="71.852302405428404"/>
        <n v="72.202057528655601"/>
        <n v="69.865350820055895"/>
        <n v="62.854590431559799"/>
        <n v="58.877357731240402"/>
        <n v="60.492674011908797"/>
        <n v="63.094048401603899"/>
        <n v="47.321749581114602"/>
        <n v="48.211468450759803"/>
        <n v="50.608110074288597"/>
        <n v="50.913537470813999"/>
        <n v="52.188642725689803"/>
        <n v="53.803681036606797"/>
        <n v="58.620998371925502"/>
        <n v="55.875791553121097"/>
        <n v="56.502658207417298"/>
        <n v="52.117529223219897"/>
        <n v="48.437661723256703"/>
        <n v="44.079742586386701"/>
        <n v="51.647111585539001"/>
        <n v="67.906177113171495"/>
        <n v="62.056739482183502"/>
        <n v="64.321259712379998"/>
        <n v="61.0036582597658"/>
        <n v="61.775817593884"/>
        <n v="61.448626114655802"/>
        <n v="54.042521891426297"/>
        <n v="56.622995403864202"/>
        <n v="57.556367497023402"/>
        <n v="61.360925627068497"/>
        <n v="36.8667002820062"/>
        <n v="36.731554504812898"/>
        <n v="34.680805694006899"/>
        <n v="33.216054719368799"/>
        <n v="40.803381223684198"/>
        <n v="33.634855860322197"/>
        <n v="45.003896171573501"/>
        <n v="49.1387361536583"/>
        <n v="46.122430889482601"/>
        <n v="43.779395315809303"/>
        <n v="43.2232966024729"/>
        <n v="40.979969408725701"/>
        <n v="43.731797302741199"/>
        <n v="43.575298817211397"/>
        <n v="42.273892330534501"/>
        <n v="41.116613158200003"/>
        <n v="40.944345998255699"/>
        <n v="39.689508208291898"/>
        <n v="38.775016529132202"/>
        <n v="37.473749457285898"/>
        <n v="42.244875034471399"/>
        <n v="40.778831933784403"/>
        <n v="43.780878082452404"/>
        <n v="44.686413770597603"/>
        <n v="55.906870361974697"/>
        <n v="49.3148090275523"/>
        <n v="52.6796524565911"/>
        <n v="51.113264816578301"/>
        <n v="52.384174292896397"/>
        <n v="58.634978526877497"/>
        <n v="62.556511726987502"/>
        <n v="63.121130573948697"/>
        <n v="54.555448533816097"/>
        <n v="54.7830872286942"/>
        <n v="53.342928983962999"/>
        <n v="53.605369995975998"/>
        <n v="52.962950043806103"/>
        <n v="53.264893742133602"/>
        <n v="51.4877457494119"/>
        <n v="50.758060175216599"/>
        <n v="47.160089250058697"/>
        <n v="47.5600205788026"/>
        <n v="46.056608879512602"/>
        <n v="47.4001134738159"/>
        <n v="46.161972898105603"/>
        <n v="44.095897596750802"/>
        <n v="50.322399759446697"/>
        <n v="40.286664935507801"/>
        <n v="48.126135545995702"/>
        <n v="42.441802555690998"/>
        <n v="45.155032574201599"/>
        <n v="48.162131535956902"/>
        <n v="39.193481104935401"/>
        <n v="47.948461184915203"/>
        <n v="43.534881877906599"/>
        <n v="42.542393809553303"/>
        <n v="46.483306845234097"/>
        <n v="51.006691585463201"/>
        <n v="50.0948632310647"/>
        <n v="54.209969839691801"/>
        <n v="56.299402837808501"/>
        <n v="61.679343810093897"/>
        <n v="60.476840892402002"/>
        <n v="62.070201892431797"/>
        <n v="58.275587771216301"/>
        <n v="63.831551184254202"/>
        <n v="57.900303239445698"/>
        <n v="61.729915343572301"/>
        <n v="64.075701968373295"/>
        <n v="66.300243551309904"/>
        <n v="68.208498887610602"/>
        <n v="63.880620927911799"/>
        <n v="77.823215861847999"/>
        <n v="80.392429611176198"/>
        <n v="72.868536482780399"/>
        <n v="77.100116386443204"/>
        <n v="67.109061835558705"/>
        <n v="61.397111944498498"/>
        <n v="57.733281005289399"/>
        <n v="57.5281084195435"/>
        <n v="57.308256511352901"/>
        <n v="52.754957976717897"/>
        <n v="55.131748722871301"/>
        <n v="55.317757261394497"/>
        <n v="54.586067718507103"/>
        <n v="55.8440265447447"/>
        <n v="52.948114804084803"/>
        <n v="54.563121634063201"/>
        <n v="55.502614578302399"/>
        <n v="60.749290476188698"/>
        <n v="62.907548437390602"/>
        <n v="61.907817338113503"/>
        <n v="57.633055021587701"/>
        <n v="58.347739795755302"/>
        <n v="59.808037078915497"/>
        <n v="63.898301102912797"/>
        <n v="68.832115939669606"/>
        <n v="64.453964437210601"/>
        <n v="66.554239083522702"/>
        <n v="59.964201470159203"/>
        <n v="58.970730311259601"/>
        <n v="67.476808465384593"/>
        <n v="67.803603495998402"/>
        <n v="68.318052825132597"/>
        <n v="66.413657216018294"/>
        <n v="68.6703364543974"/>
        <n v="69.7638294671751"/>
        <n v="71.034327495219401"/>
        <n v="65.920749239874695"/>
        <n v="61.920584653266999"/>
        <n v="65.928286327043494"/>
        <n v="68.322508079227404"/>
        <n v="58.070409006775499"/>
        <n v="51.005097918049501"/>
        <n v="54.251996070616698"/>
        <n v="57.945719730237997"/>
        <n v="50.293038652772204"/>
        <n v="45.237503761894899"/>
        <n v="43.116188941926097"/>
        <n v="45.850726013116102"/>
        <n v="40.783266156110699"/>
        <n v="37.612302208587003"/>
        <n v="36.532444813697097"/>
        <n v="33.275117628943001"/>
        <n v="32.4550600422264"/>
        <n v="32.2834509683532"/>
        <n v="33.789747324032902"/>
        <n v="36.086346446355797"/>
        <n v="32.450317597091299"/>
        <n v="30.2613592405995"/>
        <n v="32.3101530965805"/>
        <n v="38.177938290673502"/>
        <n v="38.938172541296801"/>
        <n v="44.117665615768203"/>
        <n v="40.914220366235099"/>
        <n v="35.783762527448999"/>
        <n v="39.497927237735702"/>
        <n v="38.074970133105701"/>
        <n v="46.691378545872197"/>
        <n v="40.819707747018199"/>
        <n v="43.375635787029097"/>
        <n v="41.447852401390101"/>
        <n v="52.294729584575897"/>
        <n v="55.777134892433203"/>
        <n v="49.545027198781803"/>
        <n v="45.029449336875999"/>
        <n v="45.2982548829725"/>
        <n v="45.060957343439597"/>
        <n v="42.886887073589399"/>
        <n v="39.67911177269"/>
        <n v="44.1757408679901"/>
        <n v="43.923529593389702"/>
        <n v="39.772217507587499"/>
        <n v="41.860388543033402"/>
        <n v="41.6017052408084"/>
        <n v="41.054614032228699"/>
        <n v="43.8379786822954"/>
        <n v="38.768380540323299"/>
        <n v="39.189676553545397"/>
        <n v="40.938099003540103"/>
        <n v="41.391245164930197"/>
        <n v="37.095763181299503"/>
        <n v="35.672030960890702"/>
        <n v="36.198935817792098"/>
        <n v="58.534346155553301"/>
        <n v="68.020781798348395"/>
        <n v="61.119173576184799"/>
        <n v="62.604904020787401"/>
        <n v="64.259799737109404"/>
        <n v="61.336587982147897"/>
        <n v="62.950190516541802"/>
        <n v="63.361380232656998"/>
        <n v="61.881286143834799"/>
        <n v="63.489309716536098"/>
        <n v="58.549171962209797"/>
        <n v="58.814984926942799"/>
        <n v="53.6362596485952"/>
        <n v="54.559380173550899"/>
        <n v="52.676597763069601"/>
      </sharedItems>
      <fieldGroup base="15">
        <rangePr startNum="23.727450001786899" endNum="80.392429611176198" groupInterval="10"/>
        <groupItems count="8">
          <s v="&lt;23.7274500017869"/>
          <s v="23.7274500017869-33.7274500017869"/>
          <s v="33.7274500017869-43.7274500017869"/>
          <s v="43.7274500017869-53.7274500017869"/>
          <s v="53.7274500017869-63.7274500017869"/>
          <s v="63.7274500017869-73.7274500017869"/>
          <s v="73.7274500017869-83.7274500017869"/>
          <s v="&gt;83.7274500017869"/>
        </groupItems>
      </fieldGroup>
    </cacheField>
    <cacheField name="RSI_14_DIFF" numFmtId="0">
      <sharedItems containsSemiMixedTypes="0" containsString="0" containsNumber="1" minValue="-24.494225345062201" maxValue="33.939068705121599"/>
    </cacheField>
    <cacheField name="RSI_14_MOV" numFmtId="0">
      <sharedItems/>
    </cacheField>
    <cacheField name="Low_prev1" numFmtId="0">
      <sharedItems containsSemiMixedTypes="0" containsString="0" containsNumber="1" minValue="1.1624000072479199" maxValue="1.18385004997253"/>
    </cacheField>
    <cacheField name="Low_prev2" numFmtId="0">
      <sharedItems containsSemiMixedTypes="0" containsString="0" containsNumber="1" minValue="1.1624000072479199" maxValue="1.18385004997253"/>
    </cacheField>
    <cacheField name="High_prev1" numFmtId="0">
      <sharedItems containsSemiMixedTypes="0" containsString="0" containsNumber="1" minValue="1.1632499694824201" maxValue="1.1847000122070299"/>
    </cacheField>
    <cacheField name="High_prev2" numFmtId="0">
      <sharedItems containsSemiMixedTypes="0" containsString="0" containsNumber="1" minValue="1.1632499694824201" maxValue="1.1847000122070299"/>
    </cacheField>
    <cacheField name="IsMaxHighOfDay" numFmtId="0">
      <sharedItems containsSemiMixedTypes="0" containsString="0" containsNumber="1" containsInteger="1" minValue="0" maxValue="1" count="2">
        <n v="0"/>
        <n v="1"/>
      </sharedItems>
    </cacheField>
    <cacheField name="IsMinLowOfDay" numFmtId="0">
      <sharedItems containsSemiMixedTypes="0" containsString="0" containsNumber="1" containsInteger="1" minValue="0" maxValue="1"/>
    </cacheField>
    <cacheField name="MaxHighPred" numFmtId="0">
      <sharedItems containsSemiMixedTypes="0" containsString="0" containsNumber="1" containsInteger="1" minValue="0" maxValue="1"/>
    </cacheField>
    <cacheField name="MinLowPred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3">
  <r>
    <d v="2025-08-05T00:00:00"/>
    <s v="10:00:00+00:00"/>
    <n v="1.1629500389099099"/>
    <n v="1.1633000373840301"/>
    <n v="1.1629500389099099"/>
    <n v="1.1633000373840301"/>
    <n v="10"/>
    <n v="1.16363999843597"/>
    <n v="-2.6998519897447599E-4"/>
    <s v="DOWN"/>
    <n v="1.16393399477005"/>
    <n v="2.2400140762313101E-4"/>
    <s v="UP"/>
    <n v="-2.9399633407578498E-4"/>
    <x v="0"/>
    <x v="0"/>
    <n v="-3.7298491178392701"/>
    <s v="DOWN"/>
    <n v="1.1626499891281099"/>
    <n v="1.1634999513626001"/>
    <n v="1.1638499498367301"/>
    <n v="1.1634999513626001"/>
    <x v="0"/>
    <n v="0"/>
    <n v="0"/>
    <n v="0"/>
  </r>
  <r>
    <d v="2025-08-05T00:00:00"/>
    <s v="11:00:00+00:00"/>
    <n v="1.1632499694824201"/>
    <n v="1.1632499694824201"/>
    <n v="1.1624000072479199"/>
    <n v="1.1624000072479199"/>
    <n v="6"/>
    <n v="1.1633699893951399"/>
    <n v="-2.7000904083251899E-4"/>
    <s v="DOWN"/>
    <n v="1.1641549944877601"/>
    <n v="2.2099971771249999E-4"/>
    <s v="UP"/>
    <n v="-7.8500509262080498E-4"/>
    <x v="0"/>
    <x v="1"/>
    <n v="1.735782452547"/>
    <s v="UP"/>
    <n v="1.1629500389099099"/>
    <n v="1.1626499891281099"/>
    <n v="1.1633000373840301"/>
    <n v="1.1638499498367301"/>
    <x v="0"/>
    <n v="1"/>
    <n v="0"/>
    <n v="0"/>
  </r>
  <r>
    <d v="2025-08-05T00:00:00"/>
    <s v="12:00:00+00:00"/>
    <n v="1.1628999710082999"/>
    <n v="1.1641499996185301"/>
    <n v="1.1625000238418499"/>
    <n v="1.1638000011444001"/>
    <n v="51"/>
    <n v="1.16328997611999"/>
    <n v="-8.0013275146617602E-5"/>
    <s v="DOWN"/>
    <n v="1.1643509936332701"/>
    <n v="1.9599914550782999E-4"/>
    <s v="UP"/>
    <n v="-1.06101751327525E-3"/>
    <x v="0"/>
    <x v="2"/>
    <n v="-1.5045070613139599"/>
    <s v="DOWN"/>
    <n v="1.1624000072479199"/>
    <n v="1.1629500389099099"/>
    <n v="1.1632499694824201"/>
    <n v="1.1633000373840301"/>
    <x v="0"/>
    <n v="0"/>
    <n v="0"/>
    <n v="0"/>
  </r>
  <r>
    <d v="2025-08-05T00:00:00"/>
    <s v="13:00:00+00:00"/>
    <n v="1.1628500223159699"/>
    <n v="1.16480004787445"/>
    <n v="1.1628500223159699"/>
    <n v="1.1634000539779601"/>
    <n v="87"/>
    <n v="1.16315999031066"/>
    <n v="-1.2998580932621601E-4"/>
    <s v="DOWN"/>
    <n v="1.16456299304962"/>
    <n v="2.1199941635119399E-4"/>
    <s v="UP"/>
    <n v="-1.4030027389526599E-3"/>
    <x v="0"/>
    <x v="3"/>
    <n v="-0.22181554582277799"/>
    <s v="DOWN"/>
    <n v="1.1625000238418499"/>
    <n v="1.1624000072479199"/>
    <n v="1.1641499996185301"/>
    <n v="1.1632499694824201"/>
    <x v="0"/>
    <n v="0"/>
    <n v="0"/>
    <n v="0"/>
  </r>
  <r>
    <d v="2025-08-05T00:00:00"/>
    <s v="14:00:00+00:00"/>
    <n v="1.16600000858306"/>
    <n v="1.16600000858306"/>
    <n v="1.1629999876022299"/>
    <n v="1.16489994525909"/>
    <n v="68"/>
    <n v="1.1635900020599299"/>
    <n v="4.3001174926771103E-4"/>
    <s v="UP"/>
    <n v="1.1648599934577899"/>
    <n v="2.97000408172598E-4"/>
    <s v="UP"/>
    <n v="-1.2699913978575499E-3"/>
    <x v="0"/>
    <x v="4"/>
    <n v="15.9613105887627"/>
    <s v="UP"/>
    <n v="1.1628500223159699"/>
    <n v="1.1625000238418499"/>
    <n v="1.16480004787445"/>
    <n v="1.1641499996185301"/>
    <x v="0"/>
    <n v="0"/>
    <n v="0"/>
    <n v="0"/>
  </r>
  <r>
    <d v="2025-08-05T00:00:00"/>
    <s v="15:00:00+00:00"/>
    <n v="1.1675499677657999"/>
    <n v="1.1675499677657999"/>
    <n v="1.16604995727539"/>
    <n v="1.16604995727539"/>
    <n v="184"/>
    <n v="1.16450998783111"/>
    <n v="9.1998577117924298E-4"/>
    <s v="UP"/>
    <n v="1.1652199935912999"/>
    <n v="3.60000133514448E-4"/>
    <s v="UP"/>
    <n v="-7.1000576019275498E-4"/>
    <x v="0"/>
    <x v="5"/>
    <n v="5.4101961943444996"/>
    <s v="UP"/>
    <n v="1.1629999876022299"/>
    <n v="1.1628500223159699"/>
    <n v="1.16600000858306"/>
    <n v="1.16480004787445"/>
    <x v="0"/>
    <n v="0"/>
    <n v="0"/>
    <n v="0"/>
  </r>
  <r>
    <d v="2025-08-05T00:00:00"/>
    <s v="16:00:00+00:00"/>
    <n v="1.1680999994277901"/>
    <n v="1.1680999994277901"/>
    <n v="1.1674000024795499"/>
    <n v="1.1674000024795499"/>
    <n v="101"/>
    <n v="1.1654799938201901"/>
    <n v="9.7000598907470703E-4"/>
    <s v="UP"/>
    <n v="1.16555699348449"/>
    <n v="3.3699989318858298E-4"/>
    <s v="UP"/>
    <n v="-7.6999664306631703E-5"/>
    <x v="0"/>
    <x v="6"/>
    <n v="1.7271569492257901"/>
    <s v="UP"/>
    <n v="1.16604995727539"/>
    <n v="1.1629999876022299"/>
    <n v="1.1675499677657999"/>
    <n v="1.16600000858306"/>
    <x v="0"/>
    <n v="0"/>
    <n v="0"/>
    <n v="0"/>
  </r>
  <r>
    <d v="2025-08-05T00:00:00"/>
    <s v="17:00:00+00:00"/>
    <n v="1.1677999496459901"/>
    <n v="1.1677999496459901"/>
    <n v="1.1677000522613501"/>
    <n v="1.1677500009536701"/>
    <n v="80"/>
    <n v="1.1664599895477199"/>
    <n v="9.7999572753892906E-4"/>
    <s v="UP"/>
    <n v="1.1658959913253699"/>
    <n v="3.3899784088120501E-4"/>
    <s v="UP"/>
    <n v="5.6399822235109198E-4"/>
    <x v="1"/>
    <x v="7"/>
    <n v="-1.66165267743468"/>
    <s v="DOWN"/>
    <n v="1.1674000024795499"/>
    <n v="1.16604995727539"/>
    <n v="1.1680999994277901"/>
    <n v="1.1675499677657999"/>
    <x v="0"/>
    <n v="0"/>
    <n v="0"/>
    <n v="0"/>
  </r>
  <r>
    <d v="2025-08-05T00:00:00"/>
    <s v="19:00:00+00:00"/>
    <n v="1.1665999889373699"/>
    <n v="1.1665999889373699"/>
    <n v="1.1665999889373699"/>
    <n v="1.1665999889373699"/>
    <n v="0"/>
    <n v="1.167209982872"/>
    <n v="7.4999332427982902E-4"/>
    <s v="UP"/>
    <n v="1.1659439921379"/>
    <n v="4.8000812530535301E-5"/>
    <s v="UP"/>
    <n v="1.2659907341003799E-3"/>
    <x v="1"/>
    <x v="8"/>
    <n v="-6.2669661923709699"/>
    <s v="DOWN"/>
    <n v="1.1677000522613501"/>
    <n v="1.1674000024795499"/>
    <n v="1.1677999496459901"/>
    <n v="1.1680999994277901"/>
    <x v="0"/>
    <n v="0"/>
    <n v="0"/>
    <n v="0"/>
  </r>
  <r>
    <d v="2025-08-06T00:00:00"/>
    <s v="00:00:00+00:00"/>
    <n v="1.1669499874114899"/>
    <n v="1.1669499874114899"/>
    <n v="1.1669000387191699"/>
    <n v="1.1669000387191699"/>
    <n v="11"/>
    <n v="1.1673999786376901"/>
    <n v="1.89995765686123E-4"/>
    <s v="UP"/>
    <n v="1.16596799135208"/>
    <n v="2.3999214172398802E-5"/>
    <s v="UP"/>
    <n v="1.4319872856141101E-3"/>
    <x v="1"/>
    <x v="9"/>
    <n v="1.35559280714043"/>
    <s v="UP"/>
    <n v="1.1665999889373699"/>
    <n v="1.1677000522613501"/>
    <n v="1.1665999889373699"/>
    <n v="1.1677999496459901"/>
    <x v="0"/>
    <n v="0"/>
    <n v="0"/>
    <n v="0"/>
  </r>
  <r>
    <d v="2025-08-06T00:00:00"/>
    <s v="01:00:00+00:00"/>
    <n v="1.16620004177093"/>
    <n v="1.16620004177093"/>
    <n v="1.166100025177"/>
    <n v="1.166100025177"/>
    <n v="5"/>
    <n v="1.16712999343872"/>
    <n v="-2.6998519897469798E-4"/>
    <s v="DOWN"/>
    <n v="1.16596299171447"/>
    <n v="-4.9996376036975897E-6"/>
    <s v="DOWN"/>
    <n v="1.1670017242431099E-3"/>
    <x v="1"/>
    <x v="10"/>
    <n v="-3.7865259978096599"/>
    <s v="DOWN"/>
    <n v="1.1669000387191699"/>
    <n v="1.1665999889373699"/>
    <n v="1.1669499874114899"/>
    <n v="1.1665999889373699"/>
    <x v="0"/>
    <n v="1"/>
    <n v="0"/>
    <n v="0"/>
  </r>
  <r>
    <d v="2025-08-06T00:00:00"/>
    <s v="02:00:00+00:00"/>
    <n v="1.16620004177093"/>
    <n v="1.1663999557495099"/>
    <n v="1.166100025177"/>
    <n v="1.1663999557495099"/>
    <n v="18"/>
    <n v="1.16675000190734"/>
    <n v="-3.7999153137202498E-4"/>
    <s v="DOWN"/>
    <n v="1.1659679937362599"/>
    <n v="5.0020217894353096E-6"/>
    <s v="UP"/>
    <n v="7.8200817108164901E-4"/>
    <x v="1"/>
    <x v="10"/>
    <n v="0"/>
    <s v="DOWN"/>
    <n v="1.166100025177"/>
    <n v="1.1669000387191699"/>
    <n v="1.16620004177093"/>
    <n v="1.1669499874114899"/>
    <x v="0"/>
    <n v="1"/>
    <n v="0"/>
    <n v="0"/>
  </r>
  <r>
    <d v="2025-08-06T00:00:00"/>
    <s v="03:00:00+00:00"/>
    <n v="1.1670999526977499"/>
    <n v="1.1670999526977499"/>
    <n v="1.1670999526977499"/>
    <n v="1.1670999526977499"/>
    <n v="1"/>
    <n v="1.1666100025177"/>
    <n v="-1.3999938964848099E-4"/>
    <s v="DOWN"/>
    <n v="1.1660239934921199"/>
    <n v="5.59997558593483E-5"/>
    <s v="UP"/>
    <n v="5.8600902557381896E-4"/>
    <x v="1"/>
    <x v="11"/>
    <n v="3.9273650317422599"/>
    <s v="UP"/>
    <n v="1.166100025177"/>
    <n v="1.166100025177"/>
    <n v="1.1663999557495099"/>
    <n v="1.16620004177093"/>
    <x v="0"/>
    <n v="0"/>
    <n v="0"/>
    <n v="0"/>
  </r>
  <r>
    <d v="2025-08-06T00:00:00"/>
    <s v="04:00:00+00:00"/>
    <n v="1.1678999662399201"/>
    <n v="1.1680999994277901"/>
    <n v="1.1672500371932899"/>
    <n v="1.1672999858856199"/>
    <n v="19"/>
    <n v="1.16686999797821"/>
    <n v="2.5999546051025298E-4"/>
    <s v="UP"/>
    <n v="1.1661419939994799"/>
    <n v="1.1800050735488701E-4"/>
    <s v="UP"/>
    <n v="7.2800397872918501E-4"/>
    <x v="1"/>
    <x v="12"/>
    <n v="3.1856719868829901"/>
    <s v="UP"/>
    <n v="1.1670999526977499"/>
    <n v="1.166100025177"/>
    <n v="1.1670999526977499"/>
    <n v="1.1663999557495099"/>
    <x v="0"/>
    <n v="0"/>
    <n v="0"/>
    <n v="0"/>
  </r>
  <r>
    <d v="2025-08-06T00:00:00"/>
    <s v="06:00:00+00:00"/>
    <n v="1.1676000356674101"/>
    <n v="1.1677999496459901"/>
    <n v="1.1673500537872299"/>
    <n v="1.1675499677657999"/>
    <n v="58"/>
    <n v="1.16700000762939"/>
    <n v="1.30009651184037E-4"/>
    <s v="UP"/>
    <n v="1.1662099957466101"/>
    <n v="6.8001747131285402E-5"/>
    <s v="UP"/>
    <n v="7.9001188278193801E-4"/>
    <x v="1"/>
    <x v="13"/>
    <n v="-1.7726578221842699"/>
    <s v="DOWN"/>
    <n v="1.1672500371932899"/>
    <n v="1.1670999526977499"/>
    <n v="1.1680999994277901"/>
    <n v="1.1670999526977499"/>
    <x v="0"/>
    <n v="0"/>
    <n v="0"/>
    <n v="0"/>
  </r>
  <r>
    <d v="2025-08-06T00:00:00"/>
    <s v="07:00:00+00:00"/>
    <n v="1.1671500205993599"/>
    <n v="1.1672500371932899"/>
    <n v="1.1671500205993599"/>
    <n v="1.1672500371932899"/>
    <n v="10"/>
    <n v="1.1671900033950799"/>
    <n v="1.89995765686123E-4"/>
    <s v="UP"/>
    <n v="1.16622399568557"/>
    <n v="1.39999389647815E-5"/>
    <s v="UP"/>
    <n v="9.6600770950327998E-4"/>
    <x v="1"/>
    <x v="14"/>
    <n v="-2.6548198128690701"/>
    <s v="DOWN"/>
    <n v="1.1673500537872299"/>
    <n v="1.1672500371932899"/>
    <n v="1.1677999496459901"/>
    <n v="1.1680999994277901"/>
    <x v="0"/>
    <n v="0"/>
    <n v="0"/>
    <n v="0"/>
  </r>
  <r>
    <d v="2025-08-06T00:00:00"/>
    <s v="08:00:00+00:00"/>
    <n v="1.1670000553131099"/>
    <n v="1.1673500537872299"/>
    <n v="1.1670000553131099"/>
    <n v="1.1673500537872299"/>
    <n v="5"/>
    <n v="1.16735000610351"/>
    <n v="1.6000270843496899E-4"/>
    <s v="UP"/>
    <n v="1.16619599580764"/>
    <n v="-2.7999877929563101E-5"/>
    <s v="DOWN"/>
    <n v="1.1540102958678101E-3"/>
    <x v="1"/>
    <x v="15"/>
    <n v="-0.89520834995504805"/>
    <s v="DOWN"/>
    <n v="1.1671500205993599"/>
    <n v="1.1673500537872299"/>
    <n v="1.1672500371932899"/>
    <n v="1.1677999496459901"/>
    <x v="0"/>
    <n v="0"/>
    <n v="0"/>
    <n v="0"/>
  </r>
  <r>
    <d v="2025-08-06T00:00:00"/>
    <s v="09:00:00+00:00"/>
    <n v="1.1679999828338601"/>
    <n v="1.1679999828338601"/>
    <n v="1.1679999828338601"/>
    <n v="1.1679999828338601"/>
    <n v="5"/>
    <n v="1.1675300121307299"/>
    <n v="1.8000602722167901E-4"/>
    <s v="UP"/>
    <n v="1.1661749958992"/>
    <n v="-2.09999084472833E-5"/>
    <s v="DOWN"/>
    <n v="1.3550162315367699E-3"/>
    <x v="1"/>
    <x v="16"/>
    <n v="4.6023785204769299"/>
    <s v="UP"/>
    <n v="1.1670000553131099"/>
    <n v="1.1671500205993599"/>
    <n v="1.1673500537872299"/>
    <n v="1.1672500371932899"/>
    <x v="0"/>
    <n v="0"/>
    <n v="0"/>
    <n v="0"/>
  </r>
  <r>
    <d v="2025-08-06T00:00:00"/>
    <s v="10:00:00+00:00"/>
    <n v="1.17025005817413"/>
    <n v="1.17050004005432"/>
    <n v="1.16884994506835"/>
    <n v="1.16884994506835"/>
    <n v="60"/>
    <n v="1.16800003051757"/>
    <n v="4.7001838684090902E-4"/>
    <s v="UP"/>
    <n v="1.1662159967422401"/>
    <n v="4.1000843048033497E-5"/>
    <s v="UP"/>
    <n v="1.7840337753296501E-3"/>
    <x v="1"/>
    <x v="17"/>
    <n v="8.0114218478677994"/>
    <s v="UP"/>
    <n v="1.1679999828338601"/>
    <n v="1.1670000553131099"/>
    <n v="1.1679999828338601"/>
    <n v="1.1673500537872299"/>
    <x v="0"/>
    <n v="0"/>
    <n v="0"/>
    <n v="0"/>
  </r>
  <r>
    <d v="2025-08-06T00:00:00"/>
    <s v="11:00:00+00:00"/>
    <n v="1.17044997215271"/>
    <n v="1.1707999706268299"/>
    <n v="1.1698499917984"/>
    <n v="1.1698499917984"/>
    <n v="51"/>
    <n v="1.1685700178146301"/>
    <n v="5.6998729705814901E-4"/>
    <s v="UP"/>
    <n v="1.16631799697875"/>
    <n v="1.0200023651130099E-4"/>
    <s v="UP"/>
    <n v="2.2520208358764999E-3"/>
    <x v="1"/>
    <x v="18"/>
    <n v="0.60220841678153603"/>
    <s v="UP"/>
    <n v="1.16884994506835"/>
    <n v="1.1679999828338601"/>
    <n v="1.17050004005432"/>
    <n v="1.1679999828338601"/>
    <x v="0"/>
    <n v="0"/>
    <n v="0"/>
    <n v="0"/>
  </r>
  <r>
    <d v="2025-08-06T00:00:00"/>
    <s v="12:00:00+00:00"/>
    <n v="1.1720000505447301"/>
    <n v="1.1720499992370601"/>
    <n v="1.1698499917984"/>
    <n v="1.1698499917984"/>
    <n v="87"/>
    <n v="1.1695400238037099"/>
    <n v="9.7000598907470703E-4"/>
    <s v="UP"/>
    <n v="1.16643499851226"/>
    <n v="1.17001533508354E-4"/>
    <s v="UP"/>
    <n v="3.1050252914428499E-3"/>
    <x v="1"/>
    <x v="19"/>
    <n v="4.2672834915060402"/>
    <s v="UP"/>
    <n v="1.1698499917984"/>
    <n v="1.16884994506835"/>
    <n v="1.1707999706268299"/>
    <n v="1.17050004005432"/>
    <x v="0"/>
    <n v="0"/>
    <n v="0"/>
    <n v="0"/>
  </r>
  <r>
    <d v="2025-08-06T00:00:00"/>
    <s v="13:00:00+00:00"/>
    <n v="1.1729999780654901"/>
    <n v="1.1729999780654901"/>
    <n v="1.1715999841689999"/>
    <n v="1.1721500158309901"/>
    <n v="148"/>
    <n v="1.1707400083541799"/>
    <n v="1.19998455047598E-3"/>
    <s v="UP"/>
    <n v="1.16655699729919"/>
    <n v="1.21998786926091E-4"/>
    <s v="UP"/>
    <n v="4.1830110549927399E-3"/>
    <x v="1"/>
    <x v="20"/>
    <n v="2.3435937078429201"/>
    <s v="UP"/>
    <n v="1.1698499917984"/>
    <n v="1.1698499917984"/>
    <n v="1.1720499992370601"/>
    <n v="1.1707999706268299"/>
    <x v="0"/>
    <n v="0"/>
    <n v="0"/>
    <n v="0"/>
  </r>
  <r>
    <d v="2025-08-06T00:00:00"/>
    <s v="14:00:00+00:00"/>
    <n v="1.1725499629974301"/>
    <n v="1.1726499795913601"/>
    <n v="1.1718000173568699"/>
    <n v="1.1726499795913601"/>
    <n v="13"/>
    <n v="1.1716500043869"/>
    <n v="9.0999603271479902E-4"/>
    <s v="UP"/>
    <n v="1.16666199684143"/>
    <n v="1.0499954223641599E-4"/>
    <s v="UP"/>
    <n v="4.9880075454711197E-3"/>
    <x v="1"/>
    <x v="21"/>
    <n v="-2.9981342297361002"/>
    <s v="DOWN"/>
    <n v="1.1715999841689999"/>
    <n v="1.1698499917984"/>
    <n v="1.1729999780654901"/>
    <n v="1.1720499992370601"/>
    <x v="0"/>
    <n v="0"/>
    <n v="0"/>
    <n v="0"/>
  </r>
  <r>
    <d v="2025-08-06T00:00:00"/>
    <s v="15:00:00+00:00"/>
    <n v="1.17394995689392"/>
    <n v="1.17394995689392"/>
    <n v="1.1720000505447301"/>
    <n v="1.1720000505447301"/>
    <n v="60"/>
    <n v="1.17238998413085"/>
    <n v="7.3997974395756296E-4"/>
    <s v="UP"/>
    <n v="1.1667999958991999"/>
    <n v="1.3799905776967701E-4"/>
    <s v="UP"/>
    <n v="5.5899882316590103E-3"/>
    <x v="1"/>
    <x v="22"/>
    <n v="3.29944500886007"/>
    <s v="UP"/>
    <n v="1.1718000173568699"/>
    <n v="1.1715999841689999"/>
    <n v="1.1726499795913601"/>
    <n v="1.1729999780654901"/>
    <x v="0"/>
    <n v="0"/>
    <n v="0"/>
    <n v="0"/>
  </r>
  <r>
    <d v="2025-08-06T00:00:00"/>
    <s v="16:00:00+00:00"/>
    <n v="1.17400002479553"/>
    <n v="1.17400002479553"/>
    <n v="1.17400002479553"/>
    <n v="1.17400002479553"/>
    <n v="31"/>
    <n v="1.1730999946594201"/>
    <n v="7.1001052856445302E-4"/>
    <s v="UP"/>
    <n v="1.1669459962844799"/>
    <n v="1.4600038528445001E-4"/>
    <s v="UP"/>
    <n v="6.1539983749390103E-3"/>
    <x v="1"/>
    <x v="23"/>
    <n v="0.11156691886311799"/>
    <s v="UP"/>
    <n v="1.1720000505447301"/>
    <n v="1.1718000173568699"/>
    <n v="1.17394995689392"/>
    <n v="1.1726499795913601"/>
    <x v="0"/>
    <n v="0"/>
    <n v="0"/>
    <n v="0"/>
  </r>
  <r>
    <d v="2025-08-06T00:00:00"/>
    <s v="17:00:00+00:00"/>
    <n v="1.1744999885559"/>
    <n v="1.1744999885559"/>
    <n v="1.17365002632141"/>
    <n v="1.17365002632141"/>
    <n v="52"/>
    <n v="1.1735999822616501"/>
    <n v="4.9998760223379703E-4"/>
    <s v="UP"/>
    <n v="1.16709299564361"/>
    <n v="1.4699935913098299E-4"/>
    <s v="UP"/>
    <n v="6.5069866180418297E-3"/>
    <x v="1"/>
    <x v="24"/>
    <n v="1.1389130793896101"/>
    <s v="UP"/>
    <n v="1.17400002479553"/>
    <n v="1.1720000505447301"/>
    <n v="1.17400002479553"/>
    <n v="1.17394995689392"/>
    <x v="0"/>
    <n v="0"/>
    <n v="0"/>
    <n v="0"/>
  </r>
  <r>
    <d v="2025-08-06T00:00:00"/>
    <s v="18:00:00+00:00"/>
    <n v="1.1756000518798799"/>
    <n v="1.1762000322341899"/>
    <n v="1.17445003986358"/>
    <n v="1.17445003986358"/>
    <n v="10"/>
    <n v="1.17411999702453"/>
    <n v="5.2001476287855098E-4"/>
    <s v="UP"/>
    <n v="1.16728499650955"/>
    <n v="1.92000865936181E-4"/>
    <s v="UP"/>
    <n v="6.8350005149842002E-3"/>
    <x v="1"/>
    <x v="25"/>
    <n v="2.3184813129545301"/>
    <s v="UP"/>
    <n v="1.17365002632141"/>
    <n v="1.17400002479553"/>
    <n v="1.1744999885559"/>
    <n v="1.17400002479553"/>
    <x v="1"/>
    <n v="0"/>
    <n v="0"/>
    <n v="0"/>
  </r>
  <r>
    <d v="2025-08-06T00:00:00"/>
    <s v="19:00:00+00:00"/>
    <n v="1.17509996891021"/>
    <n v="1.1757500171661299"/>
    <n v="1.17509996891021"/>
    <n v="1.1756500005721999"/>
    <n v="64"/>
    <n v="1.17462999820709"/>
    <n v="5.1000118255606298E-4"/>
    <s v="UP"/>
    <n v="1.1674759960174499"/>
    <n v="1.9099950790413199E-4"/>
    <s v="UP"/>
    <n v="7.1540021896361302E-3"/>
    <x v="1"/>
    <x v="26"/>
    <n v="-3.6507636477366101"/>
    <s v="DOWN"/>
    <n v="1.17445003986358"/>
    <n v="1.17365002632141"/>
    <n v="1.1762000322341899"/>
    <n v="1.1744999885559"/>
    <x v="0"/>
    <n v="0"/>
    <n v="0"/>
    <n v="0"/>
  </r>
  <r>
    <d v="2025-08-06T00:00:00"/>
    <s v="20:00:00+00:00"/>
    <n v="1.1744999885559"/>
    <n v="1.1744999885559"/>
    <n v="1.1744999885559"/>
    <n v="1.1744999885559"/>
    <n v="1"/>
    <n v="1.17474000453948"/>
    <n v="1.10006332397549E-4"/>
    <s v="UP"/>
    <n v="1.16763199567794"/>
    <n v="1.5599966049184501E-4"/>
    <s v="UP"/>
    <n v="7.1080088615418299E-3"/>
    <x v="1"/>
    <x v="27"/>
    <n v="-4.2450340301110403"/>
    <s v="DOWN"/>
    <n v="1.17509996891021"/>
    <n v="1.17445003986358"/>
    <n v="1.1757500171661299"/>
    <n v="1.1762000322341899"/>
    <x v="0"/>
    <n v="0"/>
    <n v="0"/>
    <n v="0"/>
  </r>
  <r>
    <d v="2025-08-06T00:00:00"/>
    <s v="22:00:00+00:00"/>
    <n v="1.1756000518798799"/>
    <n v="1.1756000518798799"/>
    <n v="1.1756000518798799"/>
    <n v="1.1756000518798799"/>
    <n v="0"/>
    <n v="1.17506000995636"/>
    <n v="3.20005416870161E-4"/>
    <s v="UP"/>
    <n v="1.1678149962425199"/>
    <n v="1.8300056457531901E-4"/>
    <s v="UP"/>
    <n v="7.2450137138366701E-3"/>
    <x v="1"/>
    <x v="28"/>
    <n v="2.9037446473328399"/>
    <s v="UP"/>
    <n v="1.1744999885559"/>
    <n v="1.17509996891021"/>
    <n v="1.1744999885559"/>
    <n v="1.1757500171661299"/>
    <x v="0"/>
    <n v="0"/>
    <n v="0"/>
    <n v="0"/>
  </r>
  <r>
    <d v="2025-08-07T00:00:00"/>
    <s v="00:00:00+00:00"/>
    <n v="1.17439997196197"/>
    <n v="1.17439997196197"/>
    <n v="1.17439997196197"/>
    <n v="1.17439997196197"/>
    <n v="1"/>
    <n v="1.1750400066375699"/>
    <n v="-2.0003318786709901E-5"/>
    <s v="DOWN"/>
    <n v="1.1679789948463399"/>
    <n v="1.63998603820658E-4"/>
    <s v="UP"/>
    <n v="7.0610117912293102E-3"/>
    <x v="1"/>
    <x v="29"/>
    <n v="-7.7861713999119999"/>
    <s v="DOWN"/>
    <n v="1.1756000518798799"/>
    <n v="1.1744999885559"/>
    <n v="1.1756000518798799"/>
    <n v="1.1744999885559"/>
    <x v="0"/>
    <n v="0"/>
    <n v="0"/>
    <n v="0"/>
  </r>
  <r>
    <d v="2025-08-07T00:00:00"/>
    <s v="01:00:00+00:00"/>
    <n v="1.17505002021789"/>
    <n v="1.1753499507903999"/>
    <n v="1.17435002326965"/>
    <n v="1.17435002326965"/>
    <n v="16"/>
    <n v="1.1749300003051699"/>
    <n v="-1.10006332397549E-4"/>
    <s v="DOWN"/>
    <n v="1.16811699628829"/>
    <n v="1.38001441955637E-4"/>
    <s v="UP"/>
    <n v="6.8130040168761204E-3"/>
    <x v="1"/>
    <x v="30"/>
    <n v="1.95997003923265"/>
    <s v="UP"/>
    <n v="1.17439997196197"/>
    <n v="1.1756000518798799"/>
    <n v="1.17439997196197"/>
    <n v="1.1756000518798799"/>
    <x v="0"/>
    <n v="0"/>
    <n v="0"/>
    <n v="0"/>
  </r>
  <r>
    <d v="2025-08-07T00:00:00"/>
    <s v="02:00:00+00:00"/>
    <n v="1.17484998703002"/>
    <n v="1.17484998703002"/>
    <n v="1.17484998703002"/>
    <n v="1.17484998703002"/>
    <n v="5"/>
    <n v="1.1748800039291301"/>
    <n v="-4.999637603742E-5"/>
    <s v="DOWN"/>
    <n v="1.1682679963111799"/>
    <n v="1.5100002288814801E-4"/>
    <s v="UP"/>
    <n v="6.6120076179505497E-3"/>
    <x v="1"/>
    <x v="31"/>
    <n v="-1.2817002437876499"/>
    <s v="DOWN"/>
    <n v="1.17435002326965"/>
    <n v="1.17439997196197"/>
    <n v="1.1753499507903999"/>
    <n v="1.17439997196197"/>
    <x v="0"/>
    <n v="0"/>
    <n v="0"/>
    <n v="0"/>
  </r>
  <r>
    <d v="2025-08-07T00:00:00"/>
    <s v="03:00:00+00:00"/>
    <n v="1.1744999885559"/>
    <n v="1.17484998703002"/>
    <n v="1.1744999885559"/>
    <n v="1.17484998703002"/>
    <n v="17"/>
    <n v="1.1748800039291301"/>
    <n v="0"/>
    <s v="DOWN"/>
    <n v="1.1684259963035499"/>
    <n v="1.5799999237064901E-4"/>
    <s v="UP"/>
    <n v="6.4540076255798998E-3"/>
    <x v="1"/>
    <x v="32"/>
    <n v="-2.2884862455975599"/>
    <s v="DOWN"/>
    <n v="1.17484998703002"/>
    <n v="1.17435002326965"/>
    <n v="1.17484998703002"/>
    <n v="1.1753499507903999"/>
    <x v="0"/>
    <n v="0"/>
    <n v="0"/>
    <n v="0"/>
  </r>
  <r>
    <d v="2025-08-07T00:00:00"/>
    <s v="04:00:00+00:00"/>
    <n v="1.1761499643325799"/>
    <n v="1.1762499809265099"/>
    <n v="1.1761499643325799"/>
    <n v="1.1762499809265099"/>
    <n v="5"/>
    <n v="1.17498998641967"/>
    <n v="1.0998249053950601E-4"/>
    <s v="UP"/>
    <n v="1.1686199951171801"/>
    <n v="1.9399881362902599E-4"/>
    <s v="UP"/>
    <n v="6.3699913024903802E-3"/>
    <x v="1"/>
    <x v="33"/>
    <n v="5.2541295109133301"/>
    <s v="UP"/>
    <n v="1.1744999885559"/>
    <n v="1.17484998703002"/>
    <n v="1.17484998703002"/>
    <n v="1.17484998703002"/>
    <x v="0"/>
    <n v="0"/>
    <n v="0"/>
    <n v="0"/>
  </r>
  <r>
    <d v="2025-08-07T00:00:00"/>
    <s v="05:00:00+00:00"/>
    <n v="1.1759999990463199"/>
    <n v="1.1763000488281199"/>
    <n v="1.1759999990463199"/>
    <n v="1.1763000488281199"/>
    <n v="11"/>
    <n v="1.1753099918365399"/>
    <n v="3.20005416870161E-4"/>
    <s v="UP"/>
    <n v="1.16881499528884"/>
    <n v="1.9500017166151901E-4"/>
    <s v="UP"/>
    <n v="6.4949965476990201E-3"/>
    <x v="1"/>
    <x v="34"/>
    <n v="-0.99730228635478102"/>
    <s v="DOWN"/>
    <n v="1.1761499643325799"/>
    <n v="1.1744999885559"/>
    <n v="1.1762499809265099"/>
    <n v="1.17484998703002"/>
    <x v="0"/>
    <n v="0"/>
    <n v="0"/>
    <n v="0"/>
  </r>
  <r>
    <d v="2025-08-07T00:00:00"/>
    <s v="06:00:00+00:00"/>
    <n v="1.1766500473022401"/>
    <n v="1.1766500473022401"/>
    <n v="1.1765500307083101"/>
    <n v="1.1765500307083101"/>
    <n v="4"/>
    <n v="1.1756299972534101"/>
    <n v="3.2000541686993901E-4"/>
    <s v="UP"/>
    <n v="1.16901599645614"/>
    <n v="2.0100116729726501E-4"/>
    <s v="UP"/>
    <n v="6.6140007972717001E-3"/>
    <x v="1"/>
    <x v="35"/>
    <n v="1.95216710859369"/>
    <s v="UP"/>
    <n v="1.1759999990463199"/>
    <n v="1.1761499643325799"/>
    <n v="1.1763000488281199"/>
    <n v="1.1762499809265099"/>
    <x v="0"/>
    <n v="0"/>
    <n v="0"/>
    <n v="0"/>
  </r>
  <r>
    <d v="2025-08-07T00:00:00"/>
    <s v="07:00:00+00:00"/>
    <n v="1.17815005779266"/>
    <n v="1.1782499551773"/>
    <n v="1.1766999959945601"/>
    <n v="1.1766999959945601"/>
    <n v="37"/>
    <n v="1.17629001140594"/>
    <n v="6.60014152527033E-4"/>
    <s v="UP"/>
    <n v="1.1692599987983701"/>
    <n v="2.44002342224103E-4"/>
    <s v="UP"/>
    <n v="7.0300126075746299E-3"/>
    <x v="1"/>
    <x v="36"/>
    <n v="3.9360760166379398"/>
    <s v="UP"/>
    <n v="1.1765500307083101"/>
    <n v="1.1759999990463199"/>
    <n v="1.1766500473022401"/>
    <n v="1.1763000488281199"/>
    <x v="0"/>
    <n v="0"/>
    <n v="0"/>
    <n v="0"/>
  </r>
  <r>
    <d v="2025-08-07T00:00:00"/>
    <s v="08:00:00+00:00"/>
    <n v="1.1773999929428101"/>
    <n v="1.17904996871948"/>
    <n v="1.1769499778747501"/>
    <n v="1.17805004119873"/>
    <n v="171"/>
    <n v="1.17687001228332"/>
    <n v="5.8000087738019302E-4"/>
    <s v="UP"/>
    <n v="1.1694809985160799"/>
    <n v="2.2099971771249999E-4"/>
    <s v="UP"/>
    <n v="7.3890137672423199E-3"/>
    <x v="1"/>
    <x v="37"/>
    <n v="-5.0437114753783101"/>
    <s v="DOWN"/>
    <n v="1.1766999959945601"/>
    <n v="1.1765500307083101"/>
    <n v="1.1782499551773"/>
    <n v="1.1766500473022401"/>
    <x v="1"/>
    <n v="0"/>
    <n v="0"/>
    <n v="0"/>
  </r>
  <r>
    <d v="2025-08-07T00:00:00"/>
    <s v="09:00:00+00:00"/>
    <n v="1.1763999462127599"/>
    <n v="1.1773999929428101"/>
    <n v="1.1763999462127599"/>
    <n v="1.1773999929428101"/>
    <n v="11"/>
    <n v="1.1769200086593601"/>
    <n v="4.9996376037641997E-5"/>
    <s v="UP"/>
    <n v="1.1696739983558599"/>
    <n v="1.92999839782714E-4"/>
    <s v="UP"/>
    <n v="7.2460103034972497E-3"/>
    <x v="1"/>
    <x v="38"/>
    <n v="-6.1558246906564396"/>
    <s v="DOWN"/>
    <n v="1.1769499778747501"/>
    <n v="1.1766999959945601"/>
    <n v="1.17904996871948"/>
    <n v="1.1782499551773"/>
    <x v="0"/>
    <n v="0"/>
    <n v="0"/>
    <n v="0"/>
  </r>
  <r>
    <d v="2025-08-07T00:00:00"/>
    <s v="10:00:00+00:00"/>
    <n v="1.1756000518798799"/>
    <n v="1.1763499975204399"/>
    <n v="1.1755499839782699"/>
    <n v="1.1763499975204399"/>
    <n v="13"/>
    <n v="1.17684001922607"/>
    <n v="-7.9989433288574205E-5"/>
    <s v="DOWN"/>
    <n v="1.1698199987411499"/>
    <n v="1.4600038528445001E-4"/>
    <s v="UP"/>
    <n v="7.0200204849242198E-3"/>
    <x v="1"/>
    <x v="39"/>
    <n v="-4.4916968737654202"/>
    <s v="DOWN"/>
    <n v="1.1763999462127599"/>
    <n v="1.1769499778747501"/>
    <n v="1.1773999929428101"/>
    <n v="1.17904996871948"/>
    <x v="0"/>
    <n v="0"/>
    <n v="0"/>
    <n v="0"/>
  </r>
  <r>
    <d v="2025-08-07T00:00:00"/>
    <s v="11:00:00+00:00"/>
    <n v="1.17375004291534"/>
    <n v="1.1755499839782699"/>
    <n v="1.1727499961853001"/>
    <n v="1.1755499839782699"/>
    <n v="12"/>
    <n v="1.17626001834869"/>
    <n v="-5.8000087738041496E-4"/>
    <s v="DOWN"/>
    <n v="1.1699600005149799"/>
    <n v="1.4000177383421901E-4"/>
    <s v="UP"/>
    <n v="6.3000178337095898E-3"/>
    <x v="1"/>
    <x v="40"/>
    <n v="-8.8381609544174999"/>
    <s v="DOWN"/>
    <n v="1.1755499839782699"/>
    <n v="1.1763999462127599"/>
    <n v="1.1763499975204399"/>
    <n v="1.1773999929428101"/>
    <x v="0"/>
    <n v="0"/>
    <n v="0"/>
    <n v="0"/>
  </r>
  <r>
    <d v="2025-08-07T00:00:00"/>
    <s v="12:00:00+00:00"/>
    <n v="1.17460000514984"/>
    <n v="1.17460000514984"/>
    <n v="1.17349994182586"/>
    <n v="1.17349994182586"/>
    <n v="0"/>
    <n v="1.17555000782012"/>
    <n v="-7.1001052856445302E-4"/>
    <s v="DOWN"/>
    <n v="1.1701460003852799"/>
    <n v="1.8599987030021301E-4"/>
    <s v="UP"/>
    <n v="5.4040074348449202E-3"/>
    <x v="1"/>
    <x v="41"/>
    <n v="3.44108622871134"/>
    <s v="UP"/>
    <n v="1.1727499961853001"/>
    <n v="1.1755499839782699"/>
    <n v="1.1755499839782699"/>
    <n v="1.1763499975204399"/>
    <x v="0"/>
    <n v="0"/>
    <n v="0"/>
    <n v="0"/>
  </r>
  <r>
    <d v="2025-08-07T00:00:00"/>
    <s v="13:00:00+00:00"/>
    <n v="1.17390000820159"/>
    <n v="1.17464995384216"/>
    <n v="1.1732499599456701"/>
    <n v="1.17464995384216"/>
    <n v="364"/>
    <n v="1.17485001087188"/>
    <n v="-6.9999694824218696E-4"/>
    <s v="DOWN"/>
    <n v="1.1703190016746501"/>
    <n v="1.7300128936770199E-4"/>
    <s v="UP"/>
    <n v="4.5310091972350303E-3"/>
    <x v="1"/>
    <x v="42"/>
    <n v="-3.0911007402472701"/>
    <s v="DOWN"/>
    <n v="1.17349994182586"/>
    <n v="1.1727499961853001"/>
    <n v="1.17460000514984"/>
    <n v="1.1755499839782699"/>
    <x v="0"/>
    <n v="0"/>
    <n v="0"/>
    <n v="0"/>
  </r>
  <r>
    <d v="2025-08-07T00:00:00"/>
    <s v="14:00:00+00:00"/>
    <n v="1.1716500520706099"/>
    <n v="1.17414999008178"/>
    <n v="1.17069995403289"/>
    <n v="1.17414999008178"/>
    <n v="0"/>
    <n v="1.1739000320434501"/>
    <n v="-9.4997882843017502E-4"/>
    <s v="DOWN"/>
    <n v="1.1704440021514799"/>
    <n v="1.25000476837167E-4"/>
    <s v="UP"/>
    <n v="3.45602989196769E-3"/>
    <x v="1"/>
    <x v="43"/>
    <n v="-8.4044251737234905"/>
    <s v="DOWN"/>
    <n v="1.1732499599456701"/>
    <n v="1.17349994182586"/>
    <n v="1.17464995384216"/>
    <n v="1.17460000514984"/>
    <x v="0"/>
    <n v="0"/>
    <n v="0"/>
    <n v="0"/>
  </r>
  <r>
    <d v="2025-08-07T00:00:00"/>
    <s v="15:00:00+00:00"/>
    <n v="1.1731499433517401"/>
    <n v="1.1732000112533501"/>
    <n v="1.17050004005432"/>
    <n v="1.1714500188827499"/>
    <n v="657"/>
    <n v="1.17341001033782"/>
    <n v="-4.90021705627397E-4"/>
    <s v="DOWN"/>
    <n v="1.1706210017204199"/>
    <n v="1.7699956893912899E-4"/>
    <s v="UP"/>
    <n v="2.7890086174011601E-3"/>
    <x v="1"/>
    <x v="44"/>
    <n v="6.1810493634243704"/>
    <s v="UP"/>
    <n v="1.17069995403289"/>
    <n v="1.1732499599456701"/>
    <n v="1.17414999008178"/>
    <n v="1.17464995384216"/>
    <x v="0"/>
    <n v="1"/>
    <n v="0"/>
    <n v="0"/>
  </r>
  <r>
    <d v="2025-08-07T00:00:00"/>
    <s v="16:00:00+00:00"/>
    <n v="1.1730500459671001"/>
    <n v="1.1731499433517401"/>
    <n v="1.1730500459671001"/>
    <n v="1.1731499433517401"/>
    <n v="0"/>
    <n v="1.17327001094818"/>
    <n v="-1.3999938964848099E-4"/>
    <s v="DOWN"/>
    <n v="1.17079000234603"/>
    <n v="1.69000625610538E-4"/>
    <s v="UP"/>
    <n v="2.4800086021421401E-3"/>
    <x v="1"/>
    <x v="45"/>
    <n v="-0.366748597987061"/>
    <s v="DOWN"/>
    <n v="1.17050004005432"/>
    <n v="1.17069995403289"/>
    <n v="1.1732000112533501"/>
    <n v="1.17414999008178"/>
    <x v="0"/>
    <n v="0"/>
    <n v="0"/>
    <n v="0"/>
  </r>
  <r>
    <d v="2025-08-07T00:00:00"/>
    <s v="17:00:00+00:00"/>
    <n v="1.1729999780654901"/>
    <n v="1.1729999780654901"/>
    <n v="1.1729999780654901"/>
    <n v="1.1729999780654901"/>
    <n v="0"/>
    <n v="1.17295000553131"/>
    <n v="-3.2000541686993901E-4"/>
    <s v="DOWN"/>
    <n v="1.1709840011596599"/>
    <n v="1.9399881362902599E-4"/>
    <s v="UP"/>
    <n v="1.9660043716431801E-3"/>
    <x v="1"/>
    <x v="46"/>
    <n v="-0.19564506478805299"/>
    <s v="DOWN"/>
    <n v="1.1730500459671001"/>
    <n v="1.17050004005432"/>
    <n v="1.1731499433517401"/>
    <n v="1.1732000112533501"/>
    <x v="0"/>
    <n v="0"/>
    <n v="0"/>
    <n v="0"/>
  </r>
  <r>
    <d v="2025-08-07T00:00:00"/>
    <s v="18:00:00+00:00"/>
    <n v="1.1719000339507999"/>
    <n v="1.1719000339507999"/>
    <n v="1.1719000339507999"/>
    <n v="1.1719000339507999"/>
    <n v="686"/>
    <n v="1.1725500106811499"/>
    <n v="-3.99994850158735E-4"/>
    <s v="DOWN"/>
    <n v="1.1711520028114299"/>
    <n v="1.6800165176400399E-4"/>
    <s v="UP"/>
    <n v="1.3980078697204399E-3"/>
    <x v="1"/>
    <x v="47"/>
    <n v="-4.2036794292182904"/>
    <s v="DOWN"/>
    <n v="1.1729999780654901"/>
    <n v="1.1730500459671001"/>
    <n v="1.1729999780654901"/>
    <n v="1.1731499433517401"/>
    <x v="0"/>
    <n v="0"/>
    <n v="0"/>
    <n v="0"/>
  </r>
  <r>
    <d v="2025-08-07T00:00:00"/>
    <s v="19:00:00+00:00"/>
    <n v="1.17439997196197"/>
    <n v="1.1748000383377"/>
    <n v="1.1712000370025599"/>
    <n v="1.1714999675750699"/>
    <n v="45"/>
    <n v="1.1730999946594201"/>
    <n v="5.4998397827143997E-4"/>
    <s v="UP"/>
    <n v="1.1713630032539299"/>
    <n v="2.11000442504882E-4"/>
    <s v="UP"/>
    <n v="1.7369914054869899E-3"/>
    <x v="1"/>
    <x v="48"/>
    <n v="10.022289330322799"/>
    <s v="UP"/>
    <n v="1.1719000339507999"/>
    <n v="1.1729999780654901"/>
    <n v="1.1719000339507999"/>
    <n v="1.1729999780654901"/>
    <x v="0"/>
    <n v="0"/>
    <n v="0"/>
    <n v="0"/>
  </r>
  <r>
    <d v="2025-08-07T00:00:00"/>
    <s v="20:00:00+00:00"/>
    <n v="1.1759999990463199"/>
    <n v="1.1759999990463199"/>
    <n v="1.17515003681182"/>
    <n v="1.17515003681182"/>
    <n v="7"/>
    <n v="1.17367000579833"/>
    <n v="5.70011138915971E-4"/>
    <s v="UP"/>
    <n v="1.17162400245666"/>
    <n v="2.6099920272826201E-4"/>
    <s v="UP"/>
    <n v="2.0460033416747E-3"/>
    <x v="1"/>
    <x v="49"/>
    <n v="5.0633425274089197"/>
    <s v="UP"/>
    <n v="1.1712000370025599"/>
    <n v="1.1719000339507999"/>
    <n v="1.1748000383377"/>
    <n v="1.1719000339507999"/>
    <x v="0"/>
    <n v="0"/>
    <n v="0"/>
    <n v="0"/>
  </r>
  <r>
    <d v="2025-08-07T00:00:00"/>
    <s v="22:00:00+00:00"/>
    <n v="1.1766999959945601"/>
    <n v="1.1766999959945601"/>
    <n v="1.1766999959945601"/>
    <n v="1.1766999959945601"/>
    <n v="0"/>
    <n v="1.17439999580383"/>
    <n v="7.29990005493119E-4"/>
    <s v="UP"/>
    <n v="1.1718930029868999"/>
    <n v="2.6900053024281302E-4"/>
    <s v="UP"/>
    <n v="2.5069928169250098E-3"/>
    <x v="1"/>
    <x v="50"/>
    <n v="2.0218583438772399"/>
    <s v="UP"/>
    <n v="1.17515003681182"/>
    <n v="1.1712000370025599"/>
    <n v="1.1759999990463199"/>
    <n v="1.1748000383377"/>
    <x v="0"/>
    <n v="0"/>
    <n v="0"/>
    <n v="0"/>
  </r>
  <r>
    <d v="2025-08-07T00:00:00"/>
    <s v="23:00:00+00:00"/>
    <n v="1.1767499446868801"/>
    <n v="1.1768499612808201"/>
    <n v="1.1767499446868801"/>
    <n v="1.1768499612808201"/>
    <n v="3"/>
    <n v="1.1751499891281101"/>
    <n v="7.4999332427982902E-4"/>
    <s v="UP"/>
    <n v="1.17217000246047"/>
    <n v="2.7699947357184802E-4"/>
    <s v="UP"/>
    <n v="2.9799866676329901E-3"/>
    <x v="1"/>
    <x v="51"/>
    <n v="0.14723012068116501"/>
    <s v="UP"/>
    <n v="1.1766999959945601"/>
    <n v="1.17515003681182"/>
    <n v="1.1766999959945601"/>
    <n v="1.1759999990463199"/>
    <x v="0"/>
    <n v="0"/>
    <n v="0"/>
    <n v="0"/>
  </r>
  <r>
    <d v="2025-08-08T00:00:00"/>
    <s v="00:00:00+00:00"/>
    <n v="1.1763999462127599"/>
    <n v="1.1767499446868801"/>
    <n v="1.1763999462127599"/>
    <n v="1.1767499446868801"/>
    <n v="4"/>
    <n v="1.1760499715805"/>
    <n v="8.9998245239253296E-4"/>
    <s v="UP"/>
    <n v="1.1724410009384101"/>
    <n v="2.7099847793587902E-4"/>
    <s v="UP"/>
    <n v="3.6089706420896401E-3"/>
    <x v="1"/>
    <x v="52"/>
    <n v="-1.6668871845197799"/>
    <s v="DOWN"/>
    <n v="1.1767499446868801"/>
    <n v="1.1766999959945601"/>
    <n v="1.1768499612808201"/>
    <n v="1.1766999959945601"/>
    <x v="1"/>
    <n v="0"/>
    <n v="0"/>
    <n v="0"/>
  </r>
  <r>
    <d v="2025-08-08T00:00:00"/>
    <s v="01:00:00+00:00"/>
    <n v="1.1748000383377"/>
    <n v="1.17505002021789"/>
    <n v="1.17474997043609"/>
    <n v="1.17505002021789"/>
    <n v="11"/>
    <n v="1.1761299848556499"/>
    <n v="8.0013275146617602E-5"/>
    <s v="UP"/>
    <n v="1.1726170015335"/>
    <n v="1.7600059509259499E-4"/>
    <s v="UP"/>
    <n v="3.5129833221436702E-3"/>
    <x v="1"/>
    <x v="53"/>
    <n v="-7.0310960340191002"/>
    <s v="DOWN"/>
    <n v="1.1763999462127599"/>
    <n v="1.1767499446868801"/>
    <n v="1.1767499446868801"/>
    <n v="1.1768499612808201"/>
    <x v="0"/>
    <n v="0"/>
    <n v="0"/>
    <n v="0"/>
  </r>
  <r>
    <d v="2025-08-08T00:00:00"/>
    <s v="02:00:00+00:00"/>
    <n v="1.17490005493164"/>
    <n v="1.17495000362396"/>
    <n v="1.17490005493164"/>
    <n v="1.17495000362396"/>
    <n v="5"/>
    <n v="1.17590999603271"/>
    <n v="-2.1998882293705599E-4"/>
    <s v="DOWN"/>
    <n v="1.1727640032768201"/>
    <n v="1.4700174331672101E-4"/>
    <s v="UP"/>
    <n v="3.14599275588989E-3"/>
    <x v="1"/>
    <x v="54"/>
    <n v="0.38094429994568901"/>
    <s v="UP"/>
    <n v="1.17474997043609"/>
    <n v="1.1763999462127599"/>
    <n v="1.17505002021789"/>
    <n v="1.1767499446868801"/>
    <x v="0"/>
    <n v="0"/>
    <n v="0"/>
    <n v="0"/>
  </r>
  <r>
    <d v="2025-08-08T00:00:00"/>
    <s v="03:00:00+00:00"/>
    <n v="1.17474997043609"/>
    <n v="1.17490005493164"/>
    <n v="1.17474997043609"/>
    <n v="1.17490005493164"/>
    <n v="10"/>
    <n v="1.1755199909210201"/>
    <n v="-3.9000511169429099E-4"/>
    <s v="DOWN"/>
    <n v="1.17289700269699"/>
    <n v="1.3299942016597999E-4"/>
    <s v="UP"/>
    <n v="2.6229882240296201E-3"/>
    <x v="1"/>
    <x v="55"/>
    <n v="-0.664931673868835"/>
    <s v="DOWN"/>
    <n v="1.17490005493164"/>
    <n v="1.17474997043609"/>
    <n v="1.17495000362396"/>
    <n v="1.17505002021789"/>
    <x v="0"/>
    <n v="0"/>
    <n v="0"/>
    <n v="0"/>
  </r>
  <r>
    <d v="2025-08-08T00:00:00"/>
    <s v="05:00:00+00:00"/>
    <n v="1.17344999313354"/>
    <n v="1.17420005798339"/>
    <n v="1.17334997653961"/>
    <n v="1.17420005798339"/>
    <n v="27"/>
    <n v="1.17486000061035"/>
    <n v="-6.5999031066898896E-4"/>
    <s v="DOWN"/>
    <n v="1.1730100035667399"/>
    <n v="1.13000869750967E-4"/>
    <s v="UP"/>
    <n v="1.8499970436096601E-3"/>
    <x v="1"/>
    <x v="56"/>
    <n v="-5.4761252672740204"/>
    <s v="DOWN"/>
    <n v="1.17474997043609"/>
    <n v="1.17490005493164"/>
    <n v="1.17490005493164"/>
    <n v="1.17495000362396"/>
    <x v="0"/>
    <n v="0"/>
    <n v="0"/>
    <n v="0"/>
  </r>
  <r>
    <d v="2025-08-08T00:00:00"/>
    <s v="06:00:00+00:00"/>
    <n v="1.17390000820159"/>
    <n v="1.17394995689392"/>
    <n v="1.17344999313354"/>
    <n v="1.17344999313354"/>
    <n v="11"/>
    <n v="1.17436001300811"/>
    <n v="-4.9998760223379703E-4"/>
    <s v="DOWN"/>
    <n v="1.1731560039520199"/>
    <n v="1.4600038528445001E-4"/>
    <s v="UP"/>
    <n v="1.20400905609141E-3"/>
    <x v="1"/>
    <x v="57"/>
    <n v="2.03688778308674"/>
    <s v="UP"/>
    <n v="1.17334997653961"/>
    <n v="1.17474997043609"/>
    <n v="1.17420005798339"/>
    <n v="1.17490005493164"/>
    <x v="0"/>
    <n v="0"/>
    <n v="0"/>
    <n v="0"/>
  </r>
  <r>
    <d v="2025-08-08T00:00:00"/>
    <s v="07:00:00+00:00"/>
    <n v="1.17474997043609"/>
    <n v="1.1748000383377"/>
    <n v="1.17474997043609"/>
    <n v="1.1748000383377"/>
    <n v="6"/>
    <n v="1.1743499994277899"/>
    <n v="-1.00135803222656E-5"/>
    <s v="DOWN"/>
    <n v="1.17331200361251"/>
    <n v="1.55999660492067E-4"/>
    <s v="UP"/>
    <n v="1.0379958152770799E-3"/>
    <x v="1"/>
    <x v="58"/>
    <n v="3.7004254750059702"/>
    <s v="UP"/>
    <n v="1.17344999313354"/>
    <n v="1.17334997653961"/>
    <n v="1.17394995689392"/>
    <n v="1.17420005798339"/>
    <x v="0"/>
    <n v="0"/>
    <n v="0"/>
    <n v="0"/>
  </r>
  <r>
    <d v="2025-08-08T00:00:00"/>
    <s v="08:00:00+00:00"/>
    <n v="1.1727999448776201"/>
    <n v="1.1753000020980799"/>
    <n v="1.1727999448776201"/>
    <n v="1.1753000020980799"/>
    <n v="15"/>
    <n v="1.17392997741699"/>
    <n v="-4.2002201080326701E-4"/>
    <s v="DOWN"/>
    <n v="1.1734440016746499"/>
    <n v="1.3199806213370899E-4"/>
    <s v="UP"/>
    <n v="4.85975742340105E-4"/>
    <x v="1"/>
    <x v="59"/>
    <n v="-7.8248690727397303"/>
    <s v="DOWN"/>
    <n v="1.17474997043609"/>
    <n v="1.17344999313354"/>
    <n v="1.1748000383377"/>
    <n v="1.17394995689392"/>
    <x v="0"/>
    <n v="0"/>
    <n v="0"/>
    <n v="0"/>
  </r>
  <r>
    <d v="2025-08-08T00:00:00"/>
    <s v="09:00:00+00:00"/>
    <n v="1.1730500459671001"/>
    <n v="1.17344999313354"/>
    <n v="1.1724499464035001"/>
    <n v="1.17344999313354"/>
    <n v="12"/>
    <n v="1.1735899925231901"/>
    <n v="-3.3998489379882802E-4"/>
    <s v="DOWN"/>
    <n v="1.1735810017585699"/>
    <n v="1.37000083923366E-4"/>
    <s v="UP"/>
    <n v="8.9907646179110401E-6"/>
    <x v="1"/>
    <x v="60"/>
    <n v="1.13501159252497"/>
    <s v="UP"/>
    <n v="1.1727999448776201"/>
    <n v="1.17474997043609"/>
    <n v="1.1753000020980799"/>
    <n v="1.1748000383377"/>
    <x v="0"/>
    <n v="1"/>
    <n v="0"/>
    <n v="0"/>
  </r>
  <r>
    <d v="2025-08-08T00:00:00"/>
    <s v="10:00:00+00:00"/>
    <n v="1.1726499795913601"/>
    <n v="1.17349994182586"/>
    <n v="1.1726000308990401"/>
    <n v="1.17349994182586"/>
    <n v="73"/>
    <n v="1.17342998981475"/>
    <n v="-1.6000270843519101E-4"/>
    <s v="DOWN"/>
    <n v="1.1736920022964401"/>
    <n v="1.11000537872163E-4"/>
    <s v="UP"/>
    <n v="-2.6201248168944403E-4"/>
    <x v="0"/>
    <x v="61"/>
    <n v="-1.53564341207391"/>
    <s v="DOWN"/>
    <n v="1.1724499464035001"/>
    <n v="1.1727999448776201"/>
    <n v="1.17344999313354"/>
    <n v="1.1753000020980799"/>
    <x v="0"/>
    <n v="0"/>
    <n v="0"/>
    <n v="0"/>
  </r>
  <r>
    <d v="2025-08-08T00:00:00"/>
    <s v="11:00:00+00:00"/>
    <n v="1.17330002784729"/>
    <n v="1.17330002784729"/>
    <n v="1.17330002784729"/>
    <n v="1.17330002784729"/>
    <n v="2"/>
    <n v="1.17330999374389"/>
    <n v="-1.19996070861772E-4"/>
    <s v="DOWN"/>
    <n v="1.17380000352859"/>
    <n v="1.0800123214727001E-4"/>
    <s v="UP"/>
    <n v="-4.90009784698486E-4"/>
    <x v="0"/>
    <x v="62"/>
    <n v="3.1430144376801099"/>
    <s v="UP"/>
    <n v="1.1726000308990401"/>
    <n v="1.1724499464035001"/>
    <n v="1.17349994182586"/>
    <n v="1.17344999313354"/>
    <x v="0"/>
    <n v="0"/>
    <n v="0"/>
    <n v="0"/>
  </r>
  <r>
    <d v="2025-08-08T00:00:00"/>
    <s v="12:00:00+00:00"/>
    <n v="1.17429995536804"/>
    <n v="1.17429995536804"/>
    <n v="1.17365002632141"/>
    <n v="1.17365002632141"/>
    <n v="6"/>
    <n v="1.17321999073028"/>
    <n v="-9.0003013610839803E-5"/>
    <s v="DOWN"/>
    <n v="1.1739340019225999"/>
    <n v="1.3399839401251299E-4"/>
    <s v="UP"/>
    <n v="-7.1401119232183897E-4"/>
    <x v="0"/>
    <x v="63"/>
    <n v="4.4984838760790504"/>
    <s v="UP"/>
    <n v="1.17330002784729"/>
    <n v="1.1726000308990401"/>
    <n v="1.17330002784729"/>
    <n v="1.17349994182586"/>
    <x v="0"/>
    <n v="0"/>
    <n v="0"/>
    <n v="0"/>
  </r>
  <r>
    <d v="2025-08-08T00:00:00"/>
    <s v="13:00:00+00:00"/>
    <n v="1.17414999008178"/>
    <n v="1.17414999008178"/>
    <n v="1.17414999008178"/>
    <n v="1.17414999008178"/>
    <n v="2"/>
    <n v="1.1734899997711099"/>
    <n v="2.7000904083251899E-4"/>
    <s v="UP"/>
    <n v="1.1740740013122499"/>
    <n v="1.3999938964848099E-4"/>
    <s v="UP"/>
    <n v="-5.8400154113780103E-4"/>
    <x v="0"/>
    <x v="64"/>
    <n v="-0.69528850330722403"/>
    <s v="DOWN"/>
    <n v="1.17365002632141"/>
    <n v="1.17330002784729"/>
    <n v="1.17429995536804"/>
    <n v="1.17330002784729"/>
    <x v="0"/>
    <n v="0"/>
    <n v="0"/>
    <n v="0"/>
  </r>
  <r>
    <d v="2025-08-08T00:00:00"/>
    <s v="14:00:00+00:00"/>
    <n v="1.17414999008178"/>
    <n v="1.17505002021789"/>
    <n v="1.17414999008178"/>
    <n v="1.17470002174377"/>
    <n v="15"/>
    <n v="1.1737099885940501"/>
    <n v="2.1998882293705599E-4"/>
    <s v="UP"/>
    <n v="1.17421700000762"/>
    <n v="1.4299869537337501E-4"/>
    <s v="UP"/>
    <n v="-5.0701141357412105E-4"/>
    <x v="0"/>
    <x v="64"/>
    <n v="0"/>
    <s v="DOWN"/>
    <n v="1.17414999008178"/>
    <n v="1.17365002632141"/>
    <n v="1.17414999008178"/>
    <n v="1.17429995536804"/>
    <x v="0"/>
    <n v="0"/>
    <n v="0"/>
    <n v="0"/>
  </r>
  <r>
    <d v="2025-08-08T00:00:00"/>
    <s v="15:00:00+00:00"/>
    <n v="1.17515003681182"/>
    <n v="1.1757999658584499"/>
    <n v="1.17515003681182"/>
    <n v="1.1755499839782699"/>
    <n v="205"/>
    <n v="1.1742100000381399"/>
    <n v="5.0001144409184096E-4"/>
    <s v="UP"/>
    <n v="1.17436000108718"/>
    <n v="1.43001079559335E-4"/>
    <s v="UP"/>
    <n v="-1.5000104904161401E-4"/>
    <x v="0"/>
    <x v="65"/>
    <n v="4.6589125872098798"/>
    <s v="UP"/>
    <n v="1.17414999008178"/>
    <n v="1.17414999008178"/>
    <n v="1.17505002021789"/>
    <n v="1.17414999008178"/>
    <x v="0"/>
    <n v="0"/>
    <n v="0"/>
    <n v="0"/>
  </r>
  <r>
    <d v="2025-08-08T00:00:00"/>
    <s v="16:00:00+00:00"/>
    <n v="1.17460000514984"/>
    <n v="1.1753499507903999"/>
    <n v="1.17460000514984"/>
    <n v="1.1753499507903999"/>
    <n v="0"/>
    <n v="1.1744699954986499"/>
    <n v="2.5999546051025298E-4"/>
    <s v="UP"/>
    <n v="1.1744470000267"/>
    <n v="8.6998939514248906E-5"/>
    <s v="UP"/>
    <n v="2.2995471954390098E-5"/>
    <x v="1"/>
    <x v="66"/>
    <n v="-2.9410010753544298"/>
    <s v="DOWN"/>
    <n v="1.17515003681182"/>
    <n v="1.17414999008178"/>
    <n v="1.1757999658584499"/>
    <n v="1.17505002021789"/>
    <x v="0"/>
    <n v="0"/>
    <n v="0"/>
    <n v="0"/>
  </r>
  <r>
    <d v="2025-08-08T00:00:00"/>
    <s v="18:00:00+00:00"/>
    <n v="1.17460000514984"/>
    <n v="1.17515003681182"/>
    <n v="1.17460000514984"/>
    <n v="1.17515003681182"/>
    <n v="0"/>
    <n v="1.1745300054550101"/>
    <n v="6.0009956359907602E-5"/>
    <s v="UP"/>
    <n v="1.1745300006866399"/>
    <n v="8.3000659942600294E-5"/>
    <s v="UP"/>
    <n v="4.7683716974944396E-9"/>
    <x v="1"/>
    <x v="66"/>
    <n v="0"/>
    <s v="DOWN"/>
    <n v="1.17460000514984"/>
    <n v="1.17515003681182"/>
    <n v="1.1753499507903999"/>
    <n v="1.1757999658584499"/>
    <x v="0"/>
    <n v="0"/>
    <n v="0"/>
    <n v="0"/>
  </r>
  <r>
    <d v="2025-08-08T00:00:00"/>
    <s v="19:00:00+00:00"/>
    <n v="1.17340004444122"/>
    <n v="1.17439997196197"/>
    <n v="1.17340004444122"/>
    <n v="1.17439997196197"/>
    <n v="435"/>
    <n v="1.1743800163269"/>
    <n v="-1.4998912811292601E-4"/>
    <s v="DOWN"/>
    <n v="1.1745580005645699"/>
    <n v="2.79998779297852E-5"/>
    <s v="UP"/>
    <n v="-1.7798423767101301E-4"/>
    <x v="0"/>
    <x v="67"/>
    <n v="-6.2121962942482902"/>
    <s v="DOWN"/>
    <n v="1.17460000514984"/>
    <n v="1.17460000514984"/>
    <n v="1.17515003681182"/>
    <n v="1.1753499507903999"/>
    <x v="0"/>
    <n v="0"/>
    <n v="0"/>
    <n v="0"/>
  </r>
  <r>
    <d v="2025-08-08T00:00:00"/>
    <s v="20:00:00+00:00"/>
    <n v="1.1748000383377"/>
    <n v="1.1748000383377"/>
    <n v="1.1732000112533501"/>
    <n v="1.17344999313354"/>
    <n v="5"/>
    <n v="1.1745100259780801"/>
    <n v="1.30009651184037E-4"/>
    <s v="UP"/>
    <n v="1.1745940017700101"/>
    <n v="3.6001205444335897E-5"/>
    <s v="UP"/>
    <n v="-8.3975791931312202E-5"/>
    <x v="0"/>
    <x v="68"/>
    <n v="6.9573540528275197"/>
    <s v="UP"/>
    <n v="1.17340004444122"/>
    <n v="1.17460000514984"/>
    <n v="1.17439997196197"/>
    <n v="1.17515003681182"/>
    <x v="0"/>
    <n v="0"/>
    <n v="0"/>
    <n v="0"/>
  </r>
  <r>
    <d v="2025-08-10T00:00:00"/>
    <s v="22:00:00+00:00"/>
    <n v="1.17390000820159"/>
    <n v="1.17390000820159"/>
    <n v="1.17390000820159"/>
    <n v="1.17390000820159"/>
    <n v="0"/>
    <n v="1.17426002025604"/>
    <n v="-2.5000572204580902E-4"/>
    <s v="DOWN"/>
    <n v="1.1746210026741"/>
    <n v="2.7000904083251899E-5"/>
    <s v="UP"/>
    <n v="-3.6098241806037298E-4"/>
    <x v="0"/>
    <x v="69"/>
    <n v="-4.37849257723318"/>
    <s v="DOWN"/>
    <n v="1.1732000112533501"/>
    <n v="1.17340004444122"/>
    <n v="1.1748000383377"/>
    <n v="1.17439997196197"/>
    <x v="1"/>
    <n v="1"/>
    <n v="0"/>
    <n v="0"/>
  </r>
  <r>
    <d v="2025-08-11T00:00:00"/>
    <s v="01:00:00+00:00"/>
    <n v="1.17455005645751"/>
    <n v="1.17455005645751"/>
    <n v="1.17390000820159"/>
    <n v="1.17390000820159"/>
    <n v="30"/>
    <n v="1.17425003051757"/>
    <n v="-9.9897384644442798E-6"/>
    <s v="DOWN"/>
    <n v="1.1746330046653699"/>
    <n v="1.20019912719371E-5"/>
    <s v="UP"/>
    <n v="-3.8297414779675499E-4"/>
    <x v="0"/>
    <x v="70"/>
    <n v="3.07647138228032"/>
    <s v="UP"/>
    <n v="1.17390000820159"/>
    <n v="1.1732000112533501"/>
    <n v="1.17390000820159"/>
    <n v="1.1748000383377"/>
    <x v="0"/>
    <n v="0"/>
    <n v="0"/>
    <n v="0"/>
  </r>
  <r>
    <d v="2025-08-11T00:00:00"/>
    <s v="03:00:00+00:00"/>
    <n v="1.1762000322341899"/>
    <n v="1.1762000322341899"/>
    <n v="1.1762000322341899"/>
    <n v="1.1762000322341899"/>
    <n v="1"/>
    <n v="1.17457003593444"/>
    <n v="3.20005416870161E-4"/>
    <s v="UP"/>
    <n v="1.1746770048141399"/>
    <n v="4.4000148773148903E-5"/>
    <s v="UP"/>
    <n v="-1.06968879699742E-4"/>
    <x v="0"/>
    <x v="71"/>
    <n v="6.7878779513325096"/>
    <s v="UP"/>
    <n v="1.17390000820159"/>
    <n v="1.17390000820159"/>
    <n v="1.17455005645751"/>
    <n v="1.17390000820159"/>
    <x v="0"/>
    <n v="0"/>
    <n v="0"/>
    <n v="0"/>
  </r>
  <r>
    <d v="2025-08-11T00:00:00"/>
    <s v="05:00:00+00:00"/>
    <n v="1.1761000156402499"/>
    <n v="1.1761000156402499"/>
    <n v="1.1761000156402499"/>
    <n v="1.1761000156402499"/>
    <n v="3"/>
    <n v="1.1751100301742501"/>
    <n v="5.3999423980721697E-4"/>
    <s v="UP"/>
    <n v="1.17470900535583"/>
    <n v="3.2000541686949499E-5"/>
    <s v="UP"/>
    <n v="4.0102481842052502E-4"/>
    <x v="1"/>
    <x v="72"/>
    <n v="-0.536139882754469"/>
    <s v="DOWN"/>
    <n v="1.1762000322341899"/>
    <n v="1.17390000820159"/>
    <n v="1.1762000322341899"/>
    <n v="1.17455005645751"/>
    <x v="0"/>
    <n v="0"/>
    <n v="0"/>
    <n v="0"/>
  </r>
  <r>
    <d v="2025-08-11T00:00:00"/>
    <s v="06:00:00+00:00"/>
    <n v="1.1756500005721999"/>
    <n v="1.1762499809265099"/>
    <n v="1.1756500005721999"/>
    <n v="1.1762499809265099"/>
    <n v="7"/>
    <n v="1.1752800226211499"/>
    <n v="1.6999244689941401E-4"/>
    <s v="UP"/>
    <n v="1.1747100043296801"/>
    <n v="9.9897384653324608E-7"/>
    <s v="UP"/>
    <n v="5.70018291473406E-4"/>
    <x v="1"/>
    <x v="73"/>
    <n v="-2.4650686758518101"/>
    <s v="DOWN"/>
    <n v="1.1761000156402499"/>
    <n v="1.1762000322341899"/>
    <n v="1.1761000156402499"/>
    <n v="1.1762000322341899"/>
    <x v="1"/>
    <n v="0"/>
    <n v="0"/>
    <n v="0"/>
  </r>
  <r>
    <d v="2025-08-11T00:00:00"/>
    <s v="07:00:00+00:00"/>
    <n v="1.17420005798339"/>
    <n v="1.1754000186920099"/>
    <n v="1.17420005798339"/>
    <n v="1.1754000186920099"/>
    <n v="7"/>
    <n v="1.1753400325775101"/>
    <n v="6.0009956359907602E-5"/>
    <s v="UP"/>
    <n v="1.1746920061111401"/>
    <n v="-1.79982185364302E-5"/>
    <s v="DOWN"/>
    <n v="6.4802646636974404E-4"/>
    <x v="1"/>
    <x v="74"/>
    <n v="-7.1409615061404699"/>
    <s v="DOWN"/>
    <n v="1.1756500005721999"/>
    <n v="1.1761000156402499"/>
    <n v="1.1762499809265099"/>
    <n v="1.1761000156402499"/>
    <x v="0"/>
    <n v="0"/>
    <n v="0"/>
    <n v="0"/>
  </r>
  <r>
    <d v="2025-08-11T00:00:00"/>
    <s v="09:00:00+00:00"/>
    <n v="1.1730500459671001"/>
    <n v="1.17365002632141"/>
    <n v="1.1730500459671001"/>
    <n v="1.17365002632141"/>
    <n v="27"/>
    <n v="1.17504003047943"/>
    <n v="-3.0000209808367302E-4"/>
    <s v="DOWN"/>
    <n v="1.17466300725936"/>
    <n v="-2.8998851776096402E-5"/>
    <s v="DOWN"/>
    <n v="3.7702322006216699E-4"/>
    <x v="1"/>
    <x v="75"/>
    <n v="-4.7928405660248901"/>
    <s v="DOWN"/>
    <n v="1.17420005798339"/>
    <n v="1.1756500005721999"/>
    <n v="1.1754000186920099"/>
    <n v="1.1762499809265099"/>
    <x v="0"/>
    <n v="0"/>
    <n v="0"/>
    <n v="0"/>
  </r>
  <r>
    <d v="2025-08-11T00:00:00"/>
    <s v="11:00:00+00:00"/>
    <n v="1.1719000339507999"/>
    <n v="1.17344999313354"/>
    <n v="1.1715999841689999"/>
    <n v="1.17344999313354"/>
    <n v="36"/>
    <n v="1.1741800308227499"/>
    <n v="-8.5999965667715695E-4"/>
    <s v="DOWN"/>
    <n v="1.1745890069007801"/>
    <n v="-7.4000358581516296E-5"/>
    <s v="DOWN"/>
    <n v="-4.0897607803347299E-4"/>
    <x v="0"/>
    <x v="76"/>
    <n v="-4.2052338791540702"/>
    <s v="DOWN"/>
    <n v="1.1730500459671001"/>
    <n v="1.17420005798339"/>
    <n v="1.17365002632141"/>
    <n v="1.1754000186920099"/>
    <x v="0"/>
    <n v="0"/>
    <n v="0"/>
    <n v="0"/>
  </r>
  <r>
    <d v="2025-08-11T00:00:00"/>
    <s v="12:00:00+00:00"/>
    <n v="1.1711499691009499"/>
    <n v="1.1712000370025599"/>
    <n v="1.17065000534057"/>
    <n v="1.17069995403289"/>
    <n v="58"/>
    <n v="1.17319002151489"/>
    <n v="-9.9000930786141694E-4"/>
    <s v="DOWN"/>
    <n v="1.1745240068435601"/>
    <n v="-6.5000057220432298E-5"/>
    <s v="DOWN"/>
    <n v="-1.3339853286744501E-3"/>
    <x v="0"/>
    <x v="77"/>
    <n v="-2.50120293198504"/>
    <s v="DOWN"/>
    <n v="1.1715999841689999"/>
    <n v="1.1730500459671001"/>
    <n v="1.17344999313354"/>
    <n v="1.17365002632141"/>
    <x v="0"/>
    <n v="0"/>
    <n v="0"/>
    <n v="0"/>
  </r>
  <r>
    <d v="2025-08-11T00:00:00"/>
    <s v="13:00:00+00:00"/>
    <n v="1.1710000038146899"/>
    <n v="1.1713999509811399"/>
    <n v="1.1708500385284399"/>
    <n v="1.1713000535964899"/>
    <n v="17"/>
    <n v="1.1722600221633901"/>
    <n v="-9.2999935150128699E-4"/>
    <s v="DOWN"/>
    <n v="1.1744430065155"/>
    <n v="-8.1000328064018094E-5"/>
    <s v="DOWN"/>
    <n v="-2.1829843521117202E-3"/>
    <x v="0"/>
    <x v="78"/>
    <n v="-0.49773239619930998"/>
    <s v="DOWN"/>
    <n v="1.17065000534057"/>
    <n v="1.1715999841689999"/>
    <n v="1.1712000370025599"/>
    <n v="1.17344999313354"/>
    <x v="0"/>
    <n v="0"/>
    <n v="0"/>
    <n v="0"/>
  </r>
  <r>
    <d v="2025-08-11T00:00:00"/>
    <s v="14:00:00+00:00"/>
    <n v="1.1685500144958401"/>
    <n v="1.16989994049072"/>
    <n v="1.1682000160217201"/>
    <n v="1.16960000991821"/>
    <n v="62"/>
    <n v="1.17113001346588"/>
    <n v="-1.13000869750989E-3"/>
    <s v="DOWN"/>
    <n v="1.1743170070648099"/>
    <n v="-1.2599945068370001E-4"/>
    <s v="DOWN"/>
    <n v="-3.18699359893792E-3"/>
    <x v="0"/>
    <x v="79"/>
    <n v="-6.9884154051742602"/>
    <s v="DOWN"/>
    <n v="1.1708500385284399"/>
    <n v="1.17065000534057"/>
    <n v="1.1713999509811399"/>
    <n v="1.1712000370025599"/>
    <x v="0"/>
    <n v="1"/>
    <n v="0"/>
    <n v="0"/>
  </r>
  <r>
    <d v="2025-08-11T00:00:00"/>
    <s v="15:00:00+00:00"/>
    <n v="1.16970002651214"/>
    <n v="1.16974997520446"/>
    <n v="1.1682000160217201"/>
    <n v="1.1682000160217201"/>
    <n v="69"/>
    <n v="1.17046000957489"/>
    <n v="-6.7000389099125502E-4"/>
    <s v="DOWN"/>
    <n v="1.1742210078239399"/>
    <n v="-9.59992408751109E-5"/>
    <s v="DOWN"/>
    <n v="-3.7609982490540701E-3"/>
    <x v="0"/>
    <x v="80"/>
    <n v="6.2032451470568697"/>
    <s v="UP"/>
    <n v="1.1682000160217201"/>
    <n v="1.1708500385284399"/>
    <n v="1.16989994049072"/>
    <n v="1.1713999509811399"/>
    <x v="0"/>
    <n v="1"/>
    <n v="0"/>
    <n v="0"/>
  </r>
  <r>
    <d v="2025-08-11T00:00:00"/>
    <s v="16:00:00+00:00"/>
    <n v="1.1698499917984"/>
    <n v="1.17030000686645"/>
    <n v="1.16970002651214"/>
    <n v="1.16974997520446"/>
    <n v="226"/>
    <n v="1.1700500011443999"/>
    <n v="-4.1000843048077902E-4"/>
    <s v="DOWN"/>
    <n v="1.17409500837326"/>
    <n v="-1.2599945068370001E-4"/>
    <s v="DOWN"/>
    <n v="-4.0450072288511496E-3"/>
    <x v="0"/>
    <x v="81"/>
    <n v="0.78470034193494298"/>
    <s v="UP"/>
    <n v="1.1682000160217201"/>
    <n v="1.1682000160217201"/>
    <n v="1.16974997520446"/>
    <n v="1.16989994049072"/>
    <x v="0"/>
    <n v="0"/>
    <n v="0"/>
    <n v="0"/>
  </r>
  <r>
    <d v="2025-08-11T00:00:00"/>
    <s v="17:00:00+00:00"/>
    <n v="1.17019999027252"/>
    <n v="1.17019999027252"/>
    <n v="1.16949999332427"/>
    <n v="1.16949999332427"/>
    <n v="6"/>
    <n v="1.16986000537872"/>
    <n v="-1.89995765686123E-4"/>
    <s v="DOWN"/>
    <n v="1.1739790081977799"/>
    <n v="-1.1600017547608301E-4"/>
    <s v="DOWN"/>
    <n v="-4.1190028190611896E-3"/>
    <x v="0"/>
    <x v="82"/>
    <n v="1.8901071409410199"/>
    <s v="UP"/>
    <n v="1.16970002651214"/>
    <n v="1.1682000160217201"/>
    <n v="1.17030000686645"/>
    <n v="1.16974997520446"/>
    <x v="0"/>
    <n v="0"/>
    <n v="0"/>
    <n v="0"/>
  </r>
  <r>
    <d v="2025-08-11T00:00:00"/>
    <s v="19:00:00+00:00"/>
    <n v="1.16949999332427"/>
    <n v="1.1695499420166"/>
    <n v="1.16949999332427"/>
    <n v="1.1695499420166"/>
    <n v="8"/>
    <n v="1.1695600032806299"/>
    <n v="-3.0000209808345098E-4"/>
    <s v="DOWN"/>
    <n v="1.1738360071182199"/>
    <n v="-1.43001079559335E-4"/>
    <s v="DOWN"/>
    <n v="-4.2760038375853002E-3"/>
    <x v="0"/>
    <x v="83"/>
    <n v="-2.3194691530373599"/>
    <s v="DOWN"/>
    <n v="1.16949999332427"/>
    <n v="1.16970002651214"/>
    <n v="1.17019999027252"/>
    <n v="1.17030000686645"/>
    <x v="0"/>
    <n v="0"/>
    <n v="0"/>
    <n v="0"/>
  </r>
  <r>
    <d v="2025-08-11T00:00:00"/>
    <s v="20:00:00+00:00"/>
    <n v="1.1710000038146899"/>
    <n v="1.1710000038146899"/>
    <n v="1.17069995403289"/>
    <n v="1.17069995403289"/>
    <n v="103"/>
    <n v="1.1700500011443999"/>
    <n v="4.8999786376957501E-4"/>
    <s v="UP"/>
    <n v="1.1736930060386599"/>
    <n v="-1.43001079559335E-4"/>
    <s v="DOWN"/>
    <n v="-3.6430048942563899E-3"/>
    <x v="0"/>
    <x v="84"/>
    <n v="7.8020218580746796"/>
    <s v="UP"/>
    <n v="1.16949999332427"/>
    <n v="1.16949999332427"/>
    <n v="1.1695499420166"/>
    <n v="1.17019999027252"/>
    <x v="0"/>
    <n v="0"/>
    <n v="0"/>
    <n v="0"/>
  </r>
  <r>
    <d v="2025-08-11T00:00:00"/>
    <s v="23:00:00+00:00"/>
    <n v="1.17060005664825"/>
    <n v="1.17060005664825"/>
    <n v="1.17060005664825"/>
    <n v="1.17060005664825"/>
    <n v="0"/>
    <n v="1.1702300071716301"/>
    <n v="1.8000602722167901E-4"/>
    <s v="UP"/>
    <n v="1.1735570073127699"/>
    <n v="-1.35998725891095E-4"/>
    <s v="DOWN"/>
    <n v="-3.3270001411436199E-3"/>
    <x v="0"/>
    <x v="85"/>
    <n v="-1.4892774504383499"/>
    <s v="DOWN"/>
    <n v="1.17069995403289"/>
    <n v="1.16949999332427"/>
    <n v="1.1710000038146899"/>
    <n v="1.1695499420166"/>
    <x v="0"/>
    <n v="0"/>
    <n v="0"/>
    <n v="0"/>
  </r>
  <r>
    <d v="2025-08-12T00:00:00"/>
    <s v="00:00:00+00:00"/>
    <n v="1.1707999706268299"/>
    <n v="1.1707999706268299"/>
    <n v="1.17060005664825"/>
    <n v="1.17060005664825"/>
    <n v="4"/>
    <n v="1.17042000293731"/>
    <n v="1.8999576568590101E-4"/>
    <s v="UP"/>
    <n v="1.1734450078010501"/>
    <n v="-1.11999511718696E-4"/>
    <s v="DOWN"/>
    <n v="-3.02500486373902E-3"/>
    <x v="0"/>
    <x v="86"/>
    <n v="1.03108621146346"/>
    <s v="UP"/>
    <n v="1.17060005664825"/>
    <n v="1.17069995403289"/>
    <n v="1.17060005664825"/>
    <n v="1.1710000038146899"/>
    <x v="0"/>
    <n v="0"/>
    <n v="0"/>
    <n v="0"/>
  </r>
  <r>
    <d v="2025-08-12T00:00:00"/>
    <s v="01:00:00+00:00"/>
    <n v="1.1715500354766799"/>
    <n v="1.1715999841689999"/>
    <n v="1.1708500385284399"/>
    <n v="1.1709500551223699"/>
    <n v="16"/>
    <n v="1.17069001197814"/>
    <n v="2.7000904083251899E-4"/>
    <s v="UP"/>
    <n v="1.1733640074729901"/>
    <n v="-8.1000328064018094E-5"/>
    <s v="DOWN"/>
    <n v="-2.6739954948424801E-3"/>
    <x v="0"/>
    <x v="87"/>
    <n v="3.81529870211669"/>
    <s v="UP"/>
    <n v="1.17060005664825"/>
    <n v="1.17060005664825"/>
    <n v="1.1707999706268299"/>
    <n v="1.17060005664825"/>
    <x v="0"/>
    <n v="0"/>
    <n v="0"/>
    <n v="0"/>
  </r>
  <r>
    <d v="2025-08-12T00:00:00"/>
    <s v="02:00:00+00:00"/>
    <n v="1.1712499856948799"/>
    <n v="1.1712499856948799"/>
    <n v="1.1712499856948799"/>
    <n v="1.1712499856948799"/>
    <n v="2"/>
    <n v="1.17104001045227"/>
    <n v="3.4999847412109299E-4"/>
    <s v="UP"/>
    <n v="1.1733140063285801"/>
    <n v="-5.0001144409117501E-5"/>
    <s v="DOWN"/>
    <n v="-2.2739958763122702E-3"/>
    <x v="0"/>
    <x v="88"/>
    <n v="-1.33670781590399"/>
    <s v="DOWN"/>
    <n v="1.1708500385284399"/>
    <n v="1.17060005664825"/>
    <n v="1.1715999841689999"/>
    <n v="1.1707999706268299"/>
    <x v="0"/>
    <n v="0"/>
    <n v="0"/>
    <n v="0"/>
  </r>
  <r>
    <d v="2025-08-12T00:00:00"/>
    <s v="03:00:00+00:00"/>
    <n v="1.1712000370025599"/>
    <n v="1.1712000370025599"/>
    <n v="1.1712000370025599"/>
    <n v="1.1712000370025599"/>
    <n v="1"/>
    <n v="1.1710800170898401"/>
    <n v="4.0006637573197697E-5"/>
    <s v="UP"/>
    <n v="1.1732460069656301"/>
    <n v="-6.7999362945547705E-5"/>
    <s v="DOWN"/>
    <n v="-2.1659898757935198E-3"/>
    <x v="0"/>
    <x v="89"/>
    <n v="-0.23168982191417301"/>
    <s v="DOWN"/>
    <n v="1.1712499856948799"/>
    <n v="1.1708500385284399"/>
    <n v="1.1712499856948799"/>
    <n v="1.1715999841689999"/>
    <x v="0"/>
    <n v="0"/>
    <n v="0"/>
    <n v="0"/>
  </r>
  <r>
    <d v="2025-08-12T00:00:00"/>
    <s v="04:00:00+00:00"/>
    <n v="1.1715999841689999"/>
    <n v="1.1715999841689999"/>
    <n v="1.1715999841689999"/>
    <n v="1.1715999841689999"/>
    <n v="5"/>
    <n v="1.17128000259399"/>
    <n v="1.9998550415056799E-4"/>
    <s v="UP"/>
    <n v="1.1732000064849799"/>
    <n v="-4.6000480651731097E-5"/>
    <s v="DOWN"/>
    <n v="-1.92000389099122E-3"/>
    <x v="0"/>
    <x v="90"/>
    <n v="2.2607034161682402"/>
    <s v="UP"/>
    <n v="1.1712000370025599"/>
    <n v="1.1712499856948799"/>
    <n v="1.1712000370025599"/>
    <n v="1.1712499856948799"/>
    <x v="0"/>
    <n v="0"/>
    <n v="0"/>
    <n v="0"/>
  </r>
  <r>
    <d v="2025-08-12T00:00:00"/>
    <s v="06:00:00+00:00"/>
    <n v="1.17030000686645"/>
    <n v="1.17065000534057"/>
    <n v="1.17030000686645"/>
    <n v="1.17065000534057"/>
    <n v="8"/>
    <n v="1.1711800098419101"/>
    <n v="-9.9992752075284103E-5"/>
    <s v="DOWN"/>
    <n v="1.1731730055809"/>
    <n v="-2.7000904083251899E-5"/>
    <s v="DOWN"/>
    <n v="-1.99299573898326E-3"/>
    <x v="0"/>
    <x v="91"/>
    <n v="-6.1073763707503499"/>
    <s v="DOWN"/>
    <n v="1.1715999841689999"/>
    <n v="1.1712000370025599"/>
    <n v="1.1715999841689999"/>
    <n v="1.1712000370025599"/>
    <x v="0"/>
    <n v="0"/>
    <n v="0"/>
    <n v="0"/>
  </r>
  <r>
    <d v="2025-08-12T00:00:00"/>
    <s v="07:00:00+00:00"/>
    <n v="1.1712000370025599"/>
    <n v="1.1712000370025599"/>
    <n v="1.16980004310607"/>
    <n v="1.16980004310607"/>
    <n v="11"/>
    <n v="1.1711100101470899"/>
    <n v="-6.9999694824129905E-5"/>
    <s v="DOWN"/>
    <n v="1.1731340074539101"/>
    <n v="-3.8998126983713599E-5"/>
    <s v="DOWN"/>
    <n v="-2.0239973068236698E-3"/>
    <x v="0"/>
    <x v="92"/>
    <n v="5.03645605086923"/>
    <s v="UP"/>
    <n v="1.17030000686645"/>
    <n v="1.1715999841689999"/>
    <n v="1.17065000534057"/>
    <n v="1.1715999841689999"/>
    <x v="0"/>
    <n v="0"/>
    <n v="0"/>
    <n v="0"/>
  </r>
  <r>
    <d v="2025-08-12T00:00:00"/>
    <s v="08:00:00+00:00"/>
    <n v="1.17034995555877"/>
    <n v="1.1710499525070099"/>
    <n v="1.17034995555877"/>
    <n v="1.1710499525070099"/>
    <n v="26"/>
    <n v="1.17093000411987"/>
    <n v="-1.8000602722167901E-4"/>
    <s v="DOWN"/>
    <n v="1.17308000564575"/>
    <n v="-5.4001808166503899E-5"/>
    <s v="DOWN"/>
    <n v="-2.1500015258788499E-3"/>
    <x v="0"/>
    <x v="93"/>
    <n v="-3.8009394867992299"/>
    <s v="DOWN"/>
    <n v="1.16980004310607"/>
    <n v="1.17030000686645"/>
    <n v="1.1712000370025599"/>
    <n v="1.17065000534057"/>
    <x v="0"/>
    <n v="0"/>
    <n v="0"/>
    <n v="0"/>
  </r>
  <r>
    <d v="2025-08-12T00:00:00"/>
    <s v="09:00:00+00:00"/>
    <n v="1.16970002651214"/>
    <n v="1.1708999872207599"/>
    <n v="1.16970002651214"/>
    <n v="1.1708999872207599"/>
    <n v="8"/>
    <n v="1.1706300020217799"/>
    <n v="-3.0000209808367302E-4"/>
    <s v="DOWN"/>
    <n v="1.1730140066146799"/>
    <n v="-6.5999031066965504E-5"/>
    <s v="DOWN"/>
    <n v="-2.3840045928955598E-3"/>
    <x v="0"/>
    <x v="94"/>
    <n v="-2.6961920078435901"/>
    <s v="DOWN"/>
    <n v="1.17034995555877"/>
    <n v="1.16980004310607"/>
    <n v="1.1710499525070099"/>
    <n v="1.1712000370025599"/>
    <x v="0"/>
    <n v="0"/>
    <n v="0"/>
    <n v="0"/>
  </r>
  <r>
    <d v="2025-08-12T00:00:00"/>
    <s v="10:00:00+00:00"/>
    <n v="1.16999995708465"/>
    <n v="1.16999995708465"/>
    <n v="1.16999995708465"/>
    <n v="1.16999995708465"/>
    <n v="1"/>
    <n v="1.17030999660491"/>
    <n v="-3.2000541686993901E-4"/>
    <s v="DOWN"/>
    <n v="1.1729760050773601"/>
    <n v="-3.8001537322918097E-5"/>
    <s v="DOWN"/>
    <n v="-2.6660084724425799E-3"/>
    <x v="0"/>
    <x v="95"/>
    <n v="1.79557137502325"/>
    <s v="UP"/>
    <n v="1.16970002651214"/>
    <n v="1.17034995555877"/>
    <n v="1.1708999872207599"/>
    <n v="1.1710499525070099"/>
    <x v="0"/>
    <n v="0"/>
    <n v="0"/>
    <n v="0"/>
  </r>
  <r>
    <d v="2025-08-12T00:00:00"/>
    <s v="11:00:00+00:00"/>
    <n v="1.16949999332427"/>
    <n v="1.16995000839233"/>
    <n v="1.16949999332427"/>
    <n v="1.16995000839233"/>
    <n v="26"/>
    <n v="1.1701499938964799"/>
    <n v="-1.6000270843519101E-4"/>
    <s v="DOWN"/>
    <n v="1.1728780055046"/>
    <n v="-9.7999572753915105E-5"/>
    <s v="DOWN"/>
    <n v="-2.7280116081238501E-3"/>
    <x v="0"/>
    <x v="96"/>
    <n v="-2.1669649971462701"/>
    <s v="DOWN"/>
    <n v="1.16999995708465"/>
    <n v="1.16970002651214"/>
    <n v="1.16999995708465"/>
    <n v="1.1708999872207599"/>
    <x v="0"/>
    <n v="1"/>
    <n v="0"/>
    <n v="0"/>
  </r>
  <r>
    <d v="2025-08-12T00:00:00"/>
    <s v="12:00:00+00:00"/>
    <n v="1.1729500293731601"/>
    <n v="1.1744999885559"/>
    <n v="1.16964995861053"/>
    <n v="1.16964995861053"/>
    <n v="2763"/>
    <n v="1.1704999923706001"/>
    <n v="3.4999847412109299E-4"/>
    <s v="UP"/>
    <n v="1.17281700611114"/>
    <n v="-6.0999393463267898E-5"/>
    <s v="DOWN"/>
    <n v="-2.3170137405394901E-3"/>
    <x v="0"/>
    <x v="97"/>
    <n v="16.5524200659268"/>
    <s v="UP"/>
    <n v="1.16949999332427"/>
    <n v="1.16999995708465"/>
    <n v="1.16995000839233"/>
    <n v="1.16999995708465"/>
    <x v="0"/>
    <n v="0"/>
    <n v="0"/>
    <n v="0"/>
  </r>
  <r>
    <d v="2025-08-12T00:00:00"/>
    <s v="13:00:00+00:00"/>
    <n v="1.17359995841979"/>
    <n v="1.1756500005721999"/>
    <n v="1.1709500551223699"/>
    <n v="1.1718499660491899"/>
    <n v="284"/>
    <n v="1.17114999294281"/>
    <n v="6.50000572204545E-4"/>
    <s v="UP"/>
    <n v="1.1727550053596401"/>
    <n v="-6.2000751495316906E-5"/>
    <s v="DOWN"/>
    <n v="-1.6050124168396299E-3"/>
    <x v="0"/>
    <x v="98"/>
    <n v="2.30191350131454"/>
    <s v="UP"/>
    <n v="1.16964995861053"/>
    <n v="1.16949999332427"/>
    <n v="1.1744999885559"/>
    <n v="1.16995000839233"/>
    <x v="0"/>
    <n v="0"/>
    <n v="0"/>
    <n v="0"/>
  </r>
  <r>
    <d v="2025-08-12T00:00:00"/>
    <s v="14:00:00+00:00"/>
    <n v="1.17490005493164"/>
    <n v="1.17499995231628"/>
    <n v="1.17355000972747"/>
    <n v="1.17439997196197"/>
    <n v="26"/>
    <n v="1.1721899986266999"/>
    <n v="1.0400056838990499E-3"/>
    <s v="UP"/>
    <n v="1.17271800756454"/>
    <n v="-3.6997795104909401E-5"/>
    <s v="DOWN"/>
    <n v="-5.2800893783566596E-4"/>
    <x v="0"/>
    <x v="99"/>
    <n v="4.2142651820121202"/>
    <s v="UP"/>
    <n v="1.1709500551223699"/>
    <n v="1.16964995861053"/>
    <n v="1.1756500005721999"/>
    <n v="1.1744999885559"/>
    <x v="0"/>
    <n v="0"/>
    <n v="0"/>
    <n v="0"/>
  </r>
  <r>
    <d v="2025-08-12T00:00:00"/>
    <s v="15:00:00+00:00"/>
    <n v="1.1763999462127599"/>
    <n v="1.17820000648498"/>
    <n v="1.1754499673843299"/>
    <n v="1.1754499673843299"/>
    <n v="177"/>
    <n v="1.1734699964523301"/>
    <n v="1.2799978256226E-3"/>
    <s v="UP"/>
    <n v="1.17271800756454"/>
    <n v="0"/>
    <s v="DOWN"/>
    <n v="7.5198888778693596E-4"/>
    <x v="1"/>
    <x v="100"/>
    <n v="4.1678938575150797"/>
    <s v="UP"/>
    <n v="1.17355000972747"/>
    <n v="1.1709500551223699"/>
    <n v="1.17499995231628"/>
    <n v="1.1756500005721999"/>
    <x v="1"/>
    <n v="0"/>
    <n v="0"/>
    <n v="0"/>
  </r>
  <r>
    <d v="2025-08-12T00:00:00"/>
    <s v="16:00:00+00:00"/>
    <n v="1.1756999492645199"/>
    <n v="1.1759999990463199"/>
    <n v="1.1756999492645199"/>
    <n v="1.1759999990463199"/>
    <n v="0"/>
    <n v="1.1747099876403799"/>
    <n v="1.2399911880491799E-3"/>
    <s v="UP"/>
    <n v="1.17273600578308"/>
    <n v="1.79982185364302E-5"/>
    <s v="UP"/>
    <n v="1.9739818572996801E-3"/>
    <x v="1"/>
    <x v="101"/>
    <n v="-3.6165951147204201"/>
    <s v="DOWN"/>
    <n v="1.1754499673843299"/>
    <n v="1.17355000972747"/>
    <n v="1.17820000648498"/>
    <n v="1.17499995231628"/>
    <x v="0"/>
    <n v="0"/>
    <n v="0"/>
    <n v="0"/>
  </r>
  <r>
    <d v="2025-08-12T00:00:00"/>
    <s v="17:00:00+00:00"/>
    <n v="1.1768000125885001"/>
    <n v="1.1768000125885001"/>
    <n v="1.1763999462127599"/>
    <n v="1.1763999462127599"/>
    <n v="3384"/>
    <n v="1.17547998428344"/>
    <n v="7.6999664306653904E-4"/>
    <s v="UP"/>
    <n v="1.1727740049362101"/>
    <n v="3.7999153137180298E-5"/>
    <s v="UP"/>
    <n v="2.7059793472290401E-3"/>
    <x v="1"/>
    <x v="102"/>
    <n v="3.0290025119233901"/>
    <s v="UP"/>
    <n v="1.1756999492645199"/>
    <n v="1.1754499673843299"/>
    <n v="1.1759999990463199"/>
    <n v="1.17820000648498"/>
    <x v="0"/>
    <n v="0"/>
    <n v="0"/>
    <n v="0"/>
  </r>
  <r>
    <d v="2025-08-12T00:00:00"/>
    <s v="18:00:00+00:00"/>
    <n v="1.1757500171661299"/>
    <n v="1.1758500337600699"/>
    <n v="1.1757500171661299"/>
    <n v="1.1758500337600699"/>
    <n v="9"/>
    <n v="1.17590999603271"/>
    <n v="4.3001174926748898E-4"/>
    <s v="UP"/>
    <n v="1.17279400587081"/>
    <n v="2.0000934600750101E-5"/>
    <s v="UP"/>
    <n v="3.1159901618957801E-3"/>
    <x v="1"/>
    <x v="103"/>
    <n v="-5.2653728789954304"/>
    <s v="DOWN"/>
    <n v="1.1763999462127599"/>
    <n v="1.1756999492645199"/>
    <n v="1.1768000125885001"/>
    <n v="1.1759999990463199"/>
    <x v="0"/>
    <n v="0"/>
    <n v="0"/>
    <n v="0"/>
  </r>
  <r>
    <d v="2025-08-12T00:00:00"/>
    <s v="20:00:00+00:00"/>
    <n v="1.1762499809265099"/>
    <n v="1.1762499809265099"/>
    <n v="1.1762499809265099"/>
    <n v="1.1762499809265099"/>
    <n v="4"/>
    <n v="1.17617998123168"/>
    <n v="2.6998519897469798E-4"/>
    <s v="UP"/>
    <n v="1.17285000562667"/>
    <n v="5.59997558593483E-5"/>
    <s v="UP"/>
    <n v="3.3299756050111299E-3"/>
    <x v="1"/>
    <x v="104"/>
    <n v="1.5003370213955201"/>
    <s v="UP"/>
    <n v="1.1757500171661299"/>
    <n v="1.1763999462127599"/>
    <n v="1.1758500337600699"/>
    <n v="1.1768000125885001"/>
    <x v="0"/>
    <n v="0"/>
    <n v="0"/>
    <n v="0"/>
  </r>
  <r>
    <d v="2025-08-13T00:00:00"/>
    <s v="00:00:00+00:00"/>
    <n v="1.1762499809265099"/>
    <n v="1.1762499809265099"/>
    <n v="1.1762499809265099"/>
    <n v="1.1762499809265099"/>
    <n v="0"/>
    <n v="1.17614998817443"/>
    <n v="-2.99930572511541E-5"/>
    <s v="DOWN"/>
    <n v="1.17289700508117"/>
    <n v="4.6999454498264303E-5"/>
    <s v="UP"/>
    <n v="3.2529830932617101E-3"/>
    <x v="1"/>
    <x v="104"/>
    <n v="-7.1054273576010003E-15"/>
    <s v="DOWN"/>
    <n v="1.1762499809265099"/>
    <n v="1.1757500171661299"/>
    <n v="1.1762499809265099"/>
    <n v="1.1758500337600699"/>
    <x v="0"/>
    <n v="0"/>
    <n v="0"/>
    <n v="0"/>
  </r>
  <r>
    <d v="2025-08-13T00:00:00"/>
    <s v="01:00:00+00:00"/>
    <n v="1.1773500442504801"/>
    <n v="1.1773500442504801"/>
    <n v="1.1773500442504801"/>
    <n v="1.1773500442504801"/>
    <n v="2"/>
    <n v="1.1764800071716299"/>
    <n v="3.30018997192427E-4"/>
    <s v="UP"/>
    <n v="1.1729490065574599"/>
    <n v="5.2001476287921699E-5"/>
    <s v="UP"/>
    <n v="3.5310006141662199E-3"/>
    <x v="1"/>
    <x v="105"/>
    <n v="3.3473159740080098"/>
    <s v="UP"/>
    <n v="1.1762499809265099"/>
    <n v="1.1762499809265099"/>
    <n v="1.1762499809265099"/>
    <n v="1.1762499809265099"/>
    <x v="0"/>
    <n v="0"/>
    <n v="0"/>
    <n v="0"/>
  </r>
  <r>
    <d v="2025-08-13T00:00:00"/>
    <s v="02:00:00+00:00"/>
    <n v="1.1770499944686801"/>
    <n v="1.1772500276565501"/>
    <n v="1.1759999990463199"/>
    <n v="1.1765500307083101"/>
    <n v="18"/>
    <n v="1.17653000354766"/>
    <n v="4.9996376037641997E-5"/>
    <s v="UP"/>
    <n v="1.17303400754928"/>
    <n v="8.5000991821404499E-5"/>
    <s v="UP"/>
    <n v="3.49599599838246E-3"/>
    <x v="1"/>
    <x v="106"/>
    <n v="-1.7129079920383801"/>
    <s v="DOWN"/>
    <n v="1.1773500442504801"/>
    <n v="1.1762499809265099"/>
    <n v="1.1773500442504801"/>
    <n v="1.1762499809265099"/>
    <x v="0"/>
    <n v="1"/>
    <n v="0"/>
    <n v="0"/>
  </r>
  <r>
    <d v="2025-08-13T00:00:00"/>
    <s v="03:00:00+00:00"/>
    <n v="1.1773500442504801"/>
    <n v="1.1774499416351301"/>
    <n v="1.1769000291824301"/>
    <n v="1.1769000291824301"/>
    <n v="3"/>
    <n v="1.17685000896453"/>
    <n v="3.20005416870161E-4"/>
    <s v="UP"/>
    <n v="1.1731200075149499"/>
    <n v="8.59999656677157E-5"/>
    <s v="UP"/>
    <n v="3.7300014495848998E-3"/>
    <x v="1"/>
    <x v="107"/>
    <n v="0.95932020868546797"/>
    <s v="UP"/>
    <n v="1.1759999990463199"/>
    <n v="1.1773500442504801"/>
    <n v="1.1772500276565501"/>
    <n v="1.1773500442504801"/>
    <x v="0"/>
    <n v="0"/>
    <n v="0"/>
    <n v="0"/>
  </r>
  <r>
    <d v="2025-08-13T00:00:00"/>
    <s v="05:00:00+00:00"/>
    <n v="1.1768000125885001"/>
    <n v="1.1772999763488701"/>
    <n v="1.1768000125885001"/>
    <n v="1.1772999763488701"/>
    <n v="9"/>
    <n v="1.17696001529693"/>
    <n v="1.1000633239732701E-4"/>
    <s v="UP"/>
    <n v="1.1732030081748901"/>
    <n v="8.3000659942600294E-5"/>
    <s v="UP"/>
    <n v="3.7570071220396298E-3"/>
    <x v="1"/>
    <x v="108"/>
    <n v="-3.3250278616165199"/>
    <s v="DOWN"/>
    <n v="1.1769000291824301"/>
    <n v="1.1759999990463199"/>
    <n v="1.1774499416351301"/>
    <n v="1.1772500276565501"/>
    <x v="0"/>
    <n v="0"/>
    <n v="0"/>
    <n v="0"/>
  </r>
  <r>
    <d v="2025-08-13T00:00:00"/>
    <s v="06:00:00+00:00"/>
    <n v="1.17799997329711"/>
    <n v="1.17799997329711"/>
    <n v="1.17799997329711"/>
    <n v="1.17799997329711"/>
    <n v="24"/>
    <n v="1.1773100137710499"/>
    <n v="3.4999847412109299E-4"/>
    <s v="UP"/>
    <n v="1.17329700708389"/>
    <n v="9.39989089965287E-5"/>
    <s v="UP"/>
    <n v="4.0130066871642001E-3"/>
    <x v="1"/>
    <x v="109"/>
    <n v="4.0257821303015699"/>
    <s v="UP"/>
    <n v="1.1768000125885001"/>
    <n v="1.1769000291824301"/>
    <n v="1.1772999763488701"/>
    <n v="1.1774499416351301"/>
    <x v="0"/>
    <n v="0"/>
    <n v="0"/>
    <n v="0"/>
  </r>
  <r>
    <d v="2025-08-13T00:00:00"/>
    <s v="07:00:00+00:00"/>
    <n v="1.1796499490737899"/>
    <n v="1.1799999475479099"/>
    <n v="1.17830002307891"/>
    <n v="1.17830002307891"/>
    <n v="58"/>
    <n v="1.1777699947357101"/>
    <n v="4.59980964660822E-4"/>
    <s v="UP"/>
    <n v="1.1734040069580001"/>
    <n v="1.0699987411499899E-4"/>
    <s v="UP"/>
    <n v="4.3659877777100196E-3"/>
    <x v="1"/>
    <x v="110"/>
    <n v="4.6007310107506303"/>
    <s v="UP"/>
    <n v="1.17799997329711"/>
    <n v="1.1768000125885001"/>
    <n v="1.17799997329711"/>
    <n v="1.1772999763488701"/>
    <x v="0"/>
    <n v="0"/>
    <n v="0"/>
    <n v="0"/>
  </r>
  <r>
    <d v="2025-08-13T00:00:00"/>
    <s v="08:00:00+00:00"/>
    <n v="1.1804000139236399"/>
    <n v="1.1807999610900799"/>
    <n v="1.1797000169753999"/>
    <n v="1.1797000169753999"/>
    <n v="32"/>
    <n v="1.1784399986267"/>
    <n v="6.7000389099103298E-4"/>
    <s v="UP"/>
    <n v="1.1735290074348399"/>
    <n v="1.25000476837167E-4"/>
    <s v="UP"/>
    <n v="4.9109911918638798E-3"/>
    <x v="1"/>
    <x v="111"/>
    <n v="1.82383586714657"/>
    <s v="UP"/>
    <n v="1.17830002307891"/>
    <n v="1.17799997329711"/>
    <n v="1.1799999475479099"/>
    <n v="1.17799997329711"/>
    <x v="0"/>
    <n v="0"/>
    <n v="0"/>
    <n v="0"/>
  </r>
  <r>
    <d v="2025-08-13T00:00:00"/>
    <s v="09:00:00+00:00"/>
    <n v="1.1814999580383301"/>
    <n v="1.1814999580383301"/>
    <n v="1.1807500123977599"/>
    <n v="1.1807500123977599"/>
    <n v="5"/>
    <n v="1.17926998138427"/>
    <n v="8.2998275756840302E-4"/>
    <s v="UP"/>
    <n v="1.17367600679397"/>
    <n v="1.46999359130761E-4"/>
    <s v="UP"/>
    <n v="5.5939745903015297E-3"/>
    <x v="1"/>
    <x v="112"/>
    <n v="2.4575584704600399"/>
    <s v="UP"/>
    <n v="1.1797000169753999"/>
    <n v="1.17830002307891"/>
    <n v="1.1807999610900799"/>
    <n v="1.1799999475479099"/>
    <x v="1"/>
    <n v="0"/>
    <n v="1"/>
    <n v="0"/>
  </r>
  <r>
    <d v="2025-08-13T00:00:00"/>
    <s v="10:00:00+00:00"/>
    <n v="1.1808500289916899"/>
    <n v="1.1814999580383301"/>
    <n v="1.1807999610900799"/>
    <n v="1.1814999580383301"/>
    <n v="14"/>
    <n v="1.1800799846649099"/>
    <n v="8.1000328063973704E-4"/>
    <s v="UP"/>
    <n v="1.1737900066375699"/>
    <n v="1.1399984359750001E-4"/>
    <s v="UP"/>
    <n v="6.28997802734376E-3"/>
    <x v="1"/>
    <x v="113"/>
    <n v="-4.0631463929298199"/>
    <s v="DOWN"/>
    <n v="1.1807500123977599"/>
    <n v="1.1797000169753999"/>
    <n v="1.1814999580383301"/>
    <n v="1.1807999610900799"/>
    <x v="1"/>
    <n v="0"/>
    <n v="0"/>
    <n v="0"/>
  </r>
  <r>
    <d v="2025-08-13T00:00:00"/>
    <s v="11:00:00+00:00"/>
    <n v="1.1807500123977599"/>
    <n v="1.1807500123977599"/>
    <n v="1.1799000501632599"/>
    <n v="1.1805000305175699"/>
    <n v="27"/>
    <n v="1.1806299924850401"/>
    <n v="5.5000782012926098E-4"/>
    <s v="UP"/>
    <n v="1.1739130067825301"/>
    <n v="1.23000144958362E-4"/>
    <s v="UP"/>
    <n v="6.7169857025146601E-3"/>
    <x v="1"/>
    <x v="114"/>
    <n v="-0.63128448463675102"/>
    <s v="DOWN"/>
    <n v="1.1807999610900799"/>
    <n v="1.1807500123977599"/>
    <n v="1.1814999580383301"/>
    <n v="1.1814999580383301"/>
    <x v="0"/>
    <n v="0"/>
    <n v="0"/>
    <n v="0"/>
  </r>
  <r>
    <d v="2025-08-13T00:00:00"/>
    <s v="12:00:00+00:00"/>
    <n v="1.17900002002716"/>
    <n v="1.1809999942779501"/>
    <n v="1.17894995212554"/>
    <n v="1.1808500289916899"/>
    <n v="48"/>
    <n v="1.1805000066757201"/>
    <n v="-1.29985809325994E-4"/>
    <s v="DOWN"/>
    <n v="1.1740010070800699"/>
    <n v="8.8000297546519905E-5"/>
    <s v="UP"/>
    <n v="6.4989995956421503E-3"/>
    <x v="1"/>
    <x v="115"/>
    <n v="-10.0987985982274"/>
    <s v="DOWN"/>
    <n v="1.1799000501632599"/>
    <n v="1.1807999610900799"/>
    <n v="1.1807500123977599"/>
    <n v="1.1814999580383301"/>
    <x v="0"/>
    <n v="0"/>
    <n v="0"/>
    <n v="0"/>
  </r>
  <r>
    <d v="2025-08-13T00:00:00"/>
    <s v="13:00:00+00:00"/>
    <n v="1.17910003662109"/>
    <n v="1.17920005321502"/>
    <n v="1.17820000648498"/>
    <n v="1.17865002155303"/>
    <n v="51"/>
    <n v="1.18024001121521"/>
    <n v="-2.5999546051025298E-4"/>
    <s v="DOWN"/>
    <n v="1.1741150069236701"/>
    <n v="1.13999843597278E-4"/>
    <s v="UP"/>
    <n v="6.1250042915346097E-3"/>
    <x v="1"/>
    <x v="116"/>
    <n v="0.34719324930113499"/>
    <s v="UP"/>
    <n v="1.17894995212554"/>
    <n v="1.1799000501632599"/>
    <n v="1.1809999942779501"/>
    <n v="1.1807500123977599"/>
    <x v="0"/>
    <n v="0"/>
    <n v="0"/>
    <n v="0"/>
  </r>
  <r>
    <d v="2025-08-13T00:00:00"/>
    <s v="14:00:00+00:00"/>
    <n v="1.1808500289916899"/>
    <n v="1.1808500289916899"/>
    <n v="1.1793999671936"/>
    <n v="1.1793999671936"/>
    <n v="25"/>
    <n v="1.1801100254058801"/>
    <n v="-1.2998580932621601E-4"/>
    <s v="DOWN"/>
    <n v="1.1742360067367501"/>
    <n v="1.2099981308000201E-4"/>
    <s v="UP"/>
    <n v="5.8740186691284002E-3"/>
    <x v="1"/>
    <x v="117"/>
    <n v="5.5670652303079597"/>
    <s v="UP"/>
    <n v="1.17820000648498"/>
    <n v="1.17894995212554"/>
    <n v="1.17920005321502"/>
    <n v="1.1809999942779501"/>
    <x v="0"/>
    <n v="0"/>
    <n v="0"/>
    <n v="0"/>
  </r>
  <r>
    <d v="2025-08-13T00:00:00"/>
    <s v="15:00:00+00:00"/>
    <n v="1.1811499595642001"/>
    <n v="1.1811499595642001"/>
    <n v="1.1799999475479099"/>
    <n v="1.1807999610900799"/>
    <n v="0"/>
    <n v="1.1801700115203799"/>
    <n v="5.99861145018643E-5"/>
    <s v="UP"/>
    <n v="1.1743810057640001"/>
    <n v="1.4499902725217899E-4"/>
    <s v="UP"/>
    <n v="5.7890057563780798E-3"/>
    <x v="1"/>
    <x v="118"/>
    <n v="0.85964441595132202"/>
    <s v="UP"/>
    <n v="1.1793999671936"/>
    <n v="1.17820000648498"/>
    <n v="1.1808500289916899"/>
    <n v="1.17920005321502"/>
    <x v="0"/>
    <n v="0"/>
    <n v="0"/>
    <n v="0"/>
  </r>
  <r>
    <d v="2025-08-13T00:00:00"/>
    <s v="16:00:00+00:00"/>
    <n v="1.1800500154495199"/>
    <n v="1.1802999973297099"/>
    <n v="1.1799999475479099"/>
    <n v="1.1801500320434499"/>
    <n v="362"/>
    <n v="1.1800300121307301"/>
    <n v="-1.3999938964848099E-4"/>
    <s v="DOWN"/>
    <n v="1.17449100494384"/>
    <n v="1.0999917984011399E-4"/>
    <s v="UP"/>
    <n v="5.5390071868894799E-3"/>
    <x v="1"/>
    <x v="119"/>
    <n v="-6.1296460487593896"/>
    <s v="DOWN"/>
    <n v="1.1799999475479099"/>
    <n v="1.1793999671936"/>
    <n v="1.1811499595642001"/>
    <n v="1.1808500289916899"/>
    <x v="0"/>
    <n v="0"/>
    <n v="0"/>
    <n v="0"/>
  </r>
  <r>
    <d v="2025-08-13T00:00:00"/>
    <s v="17:00:00+00:00"/>
    <n v="1.17935001850128"/>
    <n v="1.1798000335693299"/>
    <n v="1.17935001850128"/>
    <n v="1.17960000038146"/>
    <n v="30"/>
    <n v="1.18010001182556"/>
    <n v="6.9999694824351895E-5"/>
    <s v="UP"/>
    <n v="1.17455400466918"/>
    <n v="6.2999725341628094E-5"/>
    <s v="UP"/>
    <n v="5.5460071563722098E-3"/>
    <x v="1"/>
    <x v="120"/>
    <n v="-3.5922119030555502"/>
    <s v="DOWN"/>
    <n v="1.1799999475479099"/>
    <n v="1.1799999475479099"/>
    <n v="1.1802999973297099"/>
    <n v="1.1811499595642001"/>
    <x v="0"/>
    <n v="0"/>
    <n v="0"/>
    <n v="0"/>
  </r>
  <r>
    <d v="2025-08-13T00:00:00"/>
    <s v="18:00:00+00:00"/>
    <n v="1.17865002155303"/>
    <n v="1.17890000343322"/>
    <n v="1.17840003967285"/>
    <n v="1.17890000343322"/>
    <n v="9"/>
    <n v="1.1800100088119501"/>
    <n v="-9.0003013610839803E-5"/>
    <s v="DOWN"/>
    <n v="1.1746050047874399"/>
    <n v="5.1000118255650701E-5"/>
    <s v="UP"/>
    <n v="5.4050040245057201E-3"/>
    <x v="1"/>
    <x v="121"/>
    <n v="-3.4233514708050499"/>
    <s v="DOWN"/>
    <n v="1.17935001850128"/>
    <n v="1.1799999475479099"/>
    <n v="1.1798000335693299"/>
    <n v="1.1802999973297099"/>
    <x v="0"/>
    <n v="0"/>
    <n v="0"/>
    <n v="0"/>
  </r>
  <r>
    <d v="2025-08-13T00:00:00"/>
    <s v="19:00:00+00:00"/>
    <n v="1.17869997024536"/>
    <n v="1.17920005321502"/>
    <n v="1.17859995365142"/>
    <n v="1.17865002155303"/>
    <n v="75"/>
    <n v="1.1795799970626799"/>
    <n v="-4.3001174926771103E-4"/>
    <s v="DOWN"/>
    <n v="1.1746660041809001"/>
    <n v="6.0999393463267898E-5"/>
    <s v="UP"/>
    <n v="4.9139928817747399E-3"/>
    <x v="1"/>
    <x v="122"/>
    <n v="0.210200339663281"/>
    <s v="UP"/>
    <n v="1.17840003967285"/>
    <n v="1.17935001850128"/>
    <n v="1.17890000343322"/>
    <n v="1.1798000335693299"/>
    <x v="0"/>
    <n v="0"/>
    <n v="0"/>
    <n v="0"/>
  </r>
  <r>
    <d v="2025-08-13T00:00:00"/>
    <s v="20:00:00+00:00"/>
    <n v="1.1793999671936"/>
    <n v="1.1793999671936"/>
    <n v="1.1793999671936"/>
    <n v="1.1793999671936"/>
    <n v="0"/>
    <n v="1.1792299985885599"/>
    <n v="-3.4999847412109299E-4"/>
    <s v="DOWN"/>
    <n v="1.17477000236511"/>
    <n v="1.0399818420392301E-4"/>
    <s v="UP"/>
    <n v="4.4599962234497196E-3"/>
    <x v="1"/>
    <x v="123"/>
    <n v="2.9544137138698701"/>
    <s v="UP"/>
    <n v="1.17859995365142"/>
    <n v="1.17840003967285"/>
    <n v="1.17920005321502"/>
    <n v="1.17890000343322"/>
    <x v="0"/>
    <n v="0"/>
    <n v="0"/>
    <n v="0"/>
  </r>
  <r>
    <d v="2025-08-13T00:00:00"/>
    <s v="22:00:00+00:00"/>
    <n v="1.17960000038146"/>
    <n v="1.17960000038146"/>
    <n v="1.17960000038146"/>
    <n v="1.17960000038146"/>
    <n v="5"/>
    <n v="1.17913999557495"/>
    <n v="-9.0003013610839803E-5"/>
    <s v="DOWN"/>
    <n v="1.17490100145339"/>
    <n v="1.30999088287397E-4"/>
    <s v="UP"/>
    <n v="4.2389941215514801E-3"/>
    <x v="1"/>
    <x v="124"/>
    <n v="0.83406646816580798"/>
    <s v="UP"/>
    <n v="1.1793999671936"/>
    <n v="1.17859995365142"/>
    <n v="1.1793999671936"/>
    <n v="1.17920005321502"/>
    <x v="0"/>
    <n v="0"/>
    <n v="0"/>
    <n v="0"/>
  </r>
  <r>
    <d v="2025-08-13T00:00:00"/>
    <s v="23:00:00+00:00"/>
    <n v="1.17949998378753"/>
    <n v="1.17949998378753"/>
    <n v="1.17949998378753"/>
    <n v="1.17949998378753"/>
    <n v="1"/>
    <n v="1.1791699886322"/>
    <n v="2.99930572511541E-5"/>
    <s v="UP"/>
    <n v="1.1750530004501301"/>
    <n v="1.5199899673468099E-4"/>
    <s v="UP"/>
    <n v="4.1169881820679599E-3"/>
    <x v="1"/>
    <x v="125"/>
    <n v="-0.60051980047528197"/>
    <s v="DOWN"/>
    <n v="1.17960000038146"/>
    <n v="1.1793999671936"/>
    <n v="1.17960000038146"/>
    <n v="1.1793999671936"/>
    <x v="0"/>
    <n v="0"/>
    <n v="0"/>
    <n v="0"/>
  </r>
  <r>
    <d v="2025-08-14T00:00:00"/>
    <s v="00:00:00+00:00"/>
    <n v="1.1798000335693299"/>
    <n v="1.1799499988555899"/>
    <n v="1.1797499656677199"/>
    <n v="1.1799499988555899"/>
    <n v="4"/>
    <n v="1.17939999103546"/>
    <n v="2.30002403259099E-4"/>
    <s v="UP"/>
    <n v="1.1752260017395"/>
    <n v="1.7300128936770199E-4"/>
    <s v="UP"/>
    <n v="4.1739892959593503E-3"/>
    <x v="1"/>
    <x v="126"/>
    <n v="1.3818562983384499"/>
    <s v="UP"/>
    <n v="1.17949998378753"/>
    <n v="1.17960000038146"/>
    <n v="1.17949998378753"/>
    <n v="1.17960000038146"/>
    <x v="0"/>
    <n v="0"/>
    <n v="0"/>
    <n v="0"/>
  </r>
  <r>
    <d v="2025-08-14T00:00:00"/>
    <s v="01:00:00+00:00"/>
    <n v="1.1801500320434499"/>
    <n v="1.1801500320434499"/>
    <n v="1.1799999475479099"/>
    <n v="1.1799999475479099"/>
    <n v="10"/>
    <n v="1.1796900033950799"/>
    <n v="2.9001235961922901E-4"/>
    <s v="UP"/>
    <n v="1.17540900230407"/>
    <n v="1.8300056457509699E-4"/>
    <s v="UP"/>
    <n v="4.2810010910034803E-3"/>
    <x v="1"/>
    <x v="127"/>
    <n v="1.6139624548960601"/>
    <s v="UP"/>
    <n v="1.1797499656677199"/>
    <n v="1.17949998378753"/>
    <n v="1.1799499988555899"/>
    <n v="1.17949998378753"/>
    <x v="1"/>
    <n v="0"/>
    <n v="0"/>
    <n v="0"/>
  </r>
  <r>
    <d v="2025-08-14T00:00:00"/>
    <s v="02:00:00+00:00"/>
    <n v="1.1788500547409"/>
    <n v="1.17900002002716"/>
    <n v="1.17859995365142"/>
    <n v="1.17900002002716"/>
    <n v="14"/>
    <n v="1.1795800209045399"/>
    <n v="-1.0998249053950601E-4"/>
    <s v="DOWN"/>
    <n v="1.17561500310897"/>
    <n v="2.06000804901185E-4"/>
    <s v="UP"/>
    <n v="3.9650177955627896E-3"/>
    <x v="1"/>
    <x v="128"/>
    <n v="-8.1619469809692404"/>
    <s v="DOWN"/>
    <n v="1.1799999475479099"/>
    <n v="1.1797499656677199"/>
    <n v="1.1801500320434499"/>
    <n v="1.1799499988555899"/>
    <x v="0"/>
    <n v="0"/>
    <n v="0"/>
    <n v="0"/>
  </r>
  <r>
    <d v="2025-08-14T00:00:00"/>
    <s v="03:00:00+00:00"/>
    <n v="1.17900002002716"/>
    <n v="1.17900002002716"/>
    <n v="1.17900002002716"/>
    <n v="1.17900002002716"/>
    <n v="1"/>
    <n v="1.17946002483367"/>
    <n v="-1.19996070861772E-4"/>
    <s v="DOWN"/>
    <n v="1.17580100297927"/>
    <n v="1.8599987030021301E-4"/>
    <s v="UP"/>
    <n v="3.6590218544008098E-3"/>
    <x v="1"/>
    <x v="129"/>
    <n v="0.79029353381074596"/>
    <s v="UP"/>
    <n v="1.17859995365142"/>
    <n v="1.1799999475479099"/>
    <n v="1.17900002002716"/>
    <n v="1.1801500320434499"/>
    <x v="0"/>
    <n v="0"/>
    <n v="0"/>
    <n v="0"/>
  </r>
  <r>
    <d v="2025-08-14T00:00:00"/>
    <s v="05:00:00+00:00"/>
    <n v="1.17900002002716"/>
    <n v="1.17900002002716"/>
    <n v="1.17900002002716"/>
    <n v="1.17900002002716"/>
    <n v="2"/>
    <n v="1.1793600320816"/>
    <n v="-9.9992752075284103E-5"/>
    <s v="DOWN"/>
    <n v="1.17598400354385"/>
    <n v="1.8300056457531901E-4"/>
    <s v="UP"/>
    <n v="3.3760285377501999E-3"/>
    <x v="1"/>
    <x v="129"/>
    <n v="0"/>
    <s v="DOWN"/>
    <n v="1.17900002002716"/>
    <n v="1.17859995365142"/>
    <n v="1.17900002002716"/>
    <n v="1.17900002002716"/>
    <x v="0"/>
    <n v="0"/>
    <n v="0"/>
    <n v="0"/>
  </r>
  <r>
    <d v="2025-08-14T00:00:00"/>
    <s v="06:00:00+00:00"/>
    <n v="1.1773500442504801"/>
    <n v="1.17914998531341"/>
    <n v="1.1773500442504801"/>
    <n v="1.17890000343322"/>
    <n v="29"/>
    <n v="1.17887003421783"/>
    <n v="-4.8999786376957501E-4"/>
    <s v="DOWN"/>
    <n v="1.17612700462341"/>
    <n v="1.43001079559335E-4"/>
    <s v="UP"/>
    <n v="2.7430295944212901E-3"/>
    <x v="1"/>
    <x v="130"/>
    <n v="-9.2249584832338094"/>
    <s v="DOWN"/>
    <n v="1.17900002002716"/>
    <n v="1.17900002002716"/>
    <n v="1.17900002002716"/>
    <n v="1.17900002002716"/>
    <x v="0"/>
    <n v="0"/>
    <n v="0"/>
    <n v="0"/>
  </r>
  <r>
    <d v="2025-08-14T00:00:00"/>
    <s v="07:00:00+00:00"/>
    <n v="1.1766999959945601"/>
    <n v="1.1773500442504801"/>
    <n v="1.1766999959945601"/>
    <n v="1.1773500442504801"/>
    <n v="12"/>
    <n v="1.17818002700805"/>
    <n v="-6.90007209777743E-4"/>
    <s v="DOWN"/>
    <n v="1.1762710046768099"/>
    <n v="1.4400005340564601E-4"/>
    <s v="UP"/>
    <n v="1.9090223312379E-3"/>
    <x v="1"/>
    <x v="131"/>
    <n v="-3.0099305714509499"/>
    <s v="DOWN"/>
    <n v="1.1773500442504801"/>
    <n v="1.17900002002716"/>
    <n v="1.17914998531341"/>
    <n v="1.17900002002716"/>
    <x v="0"/>
    <n v="0"/>
    <n v="0"/>
    <n v="0"/>
  </r>
  <r>
    <d v="2025-08-14T00:00:00"/>
    <s v="08:00:00+00:00"/>
    <n v="1.1755499839782699"/>
    <n v="1.1770000457763601"/>
    <n v="1.1755499839782699"/>
    <n v="1.1770000457763601"/>
    <n v="14"/>
    <n v="1.1775200128555201"/>
    <n v="-6.6001415252681095E-4"/>
    <s v="DOWN"/>
    <n v="1.17636200428009"/>
    <n v="9.0999603271635298E-5"/>
    <s v="UP"/>
    <n v="1.1580085754394601E-3"/>
    <x v="1"/>
    <x v="132"/>
    <n v="-4.7210784803246204"/>
    <s v="DOWN"/>
    <n v="1.1766999959945601"/>
    <n v="1.1773500442504801"/>
    <n v="1.1773500442504801"/>
    <n v="1.17914998531341"/>
    <x v="0"/>
    <n v="0"/>
    <n v="0"/>
    <n v="0"/>
  </r>
  <r>
    <d v="2025-08-14T00:00:00"/>
    <s v="09:00:00+00:00"/>
    <n v="1.1771500110626201"/>
    <n v="1.1771500110626201"/>
    <n v="1.1761499643325799"/>
    <n v="1.1761499643325799"/>
    <n v="55"/>
    <n v="1.1771500110626201"/>
    <n v="-3.7000179290780301E-4"/>
    <s v="DOWN"/>
    <n v="1.17649300336837"/>
    <n v="1.3099908828717501E-4"/>
    <s v="UP"/>
    <n v="6.5700769424448203E-4"/>
    <x v="1"/>
    <x v="133"/>
    <n v="9.4672612136605991"/>
    <s v="UP"/>
    <n v="1.1755499839782699"/>
    <n v="1.1766999959945601"/>
    <n v="1.1770000457763601"/>
    <n v="1.1773500442504801"/>
    <x v="0"/>
    <n v="0"/>
    <n v="0"/>
    <n v="0"/>
  </r>
  <r>
    <d v="2025-08-14T00:00:00"/>
    <s v="10:00:00+00:00"/>
    <n v="1.17799997329711"/>
    <n v="1.17799997329711"/>
    <n v="1.1771999597549401"/>
    <n v="1.1771999597549401"/>
    <n v="45"/>
    <n v="1.1769500017166099"/>
    <n v="-2.00009346008389E-4"/>
    <s v="DOWN"/>
    <n v="1.1766370034217799"/>
    <n v="1.44000053405868E-4"/>
    <s v="UP"/>
    <n v="3.1299829483022402E-4"/>
    <x v="1"/>
    <x v="134"/>
    <n v="4.2545594906592399"/>
    <s v="UP"/>
    <n v="1.1761499643325799"/>
    <n v="1.1755499839782699"/>
    <n v="1.1771500110626201"/>
    <n v="1.1770000457763601"/>
    <x v="0"/>
    <n v="0"/>
    <n v="0"/>
    <n v="0"/>
  </r>
  <r>
    <d v="2025-08-14T00:00:00"/>
    <s v="12:00:00+00:00"/>
    <n v="1.1748000383377"/>
    <n v="1.1769000291824301"/>
    <n v="1.17390000820159"/>
    <n v="1.17499995231628"/>
    <n v="0"/>
    <n v="1.1764400005340501"/>
    <n v="-5.1000118255606298E-4"/>
    <s v="DOWN"/>
    <n v="1.1767020034789999"/>
    <n v="6.5000057220432298E-5"/>
    <s v="UP"/>
    <n v="-2.6200294494627097E-4"/>
    <x v="0"/>
    <x v="135"/>
    <n v="-11.954178696145499"/>
    <s v="DOWN"/>
    <n v="1.1771999597549401"/>
    <n v="1.1761499643325799"/>
    <n v="1.17799997329711"/>
    <n v="1.1771500110626201"/>
    <x v="0"/>
    <n v="0"/>
    <n v="0"/>
    <n v="0"/>
  </r>
  <r>
    <d v="2025-08-14T00:00:00"/>
    <s v="13:00:00+00:00"/>
    <n v="1.17385005950927"/>
    <n v="1.17499995231628"/>
    <n v="1.17385005950927"/>
    <n v="1.1748000383377"/>
    <n v="1762"/>
    <n v="1.1758700132369899"/>
    <n v="-5.6998729705814901E-4"/>
    <s v="DOWN"/>
    <n v="1.17675400495529"/>
    <n v="5.2001476287921699E-5"/>
    <s v="UP"/>
    <n v="-8.8399171829234204E-4"/>
    <x v="0"/>
    <x v="136"/>
    <n v="-2.6961048410422301"/>
    <s v="DOWN"/>
    <n v="1.17390000820159"/>
    <n v="1.1771999597549401"/>
    <n v="1.1769000291824301"/>
    <n v="1.17799997329711"/>
    <x v="0"/>
    <n v="0"/>
    <n v="0"/>
    <n v="0"/>
  </r>
  <r>
    <d v="2025-08-14T00:00:00"/>
    <s v="14:00:00+00:00"/>
    <n v="1.17490005493164"/>
    <n v="1.17490005493164"/>
    <n v="1.1728999614715501"/>
    <n v="1.17359995841979"/>
    <n v="70"/>
    <n v="1.1757400274276699"/>
    <n v="-1.2998580932621601E-4"/>
    <s v="DOWN"/>
    <n v="1.17682800531387"/>
    <n v="7.4000358581516296E-5"/>
    <s v="UP"/>
    <n v="-1.0879778862000701E-3"/>
    <x v="0"/>
    <x v="137"/>
    <n v="5.0821354841870798"/>
    <s v="UP"/>
    <n v="1.17385005950927"/>
    <n v="1.17390000820159"/>
    <n v="1.17499995231628"/>
    <n v="1.1769000291824301"/>
    <x v="0"/>
    <n v="0"/>
    <n v="0"/>
    <n v="0"/>
  </r>
  <r>
    <d v="2025-08-14T00:00:00"/>
    <s v="15:00:00+00:00"/>
    <n v="1.1728500127792301"/>
    <n v="1.17425000667572"/>
    <n v="1.1725000143051101"/>
    <n v="1.17410004138946"/>
    <n v="136"/>
    <n v="1.1748800277709901"/>
    <n v="-8.5999965667715695E-4"/>
    <s v="DOWN"/>
    <n v="1.17685300588607"/>
    <n v="2.5000572204447701E-5"/>
    <s v="UP"/>
    <n v="-1.9729781150816801E-3"/>
    <x v="0"/>
    <x v="138"/>
    <n v="-5.6775778926737397"/>
    <s v="DOWN"/>
    <n v="1.1728999614715501"/>
    <n v="1.17385005950927"/>
    <n v="1.17490005493164"/>
    <n v="1.17499995231628"/>
    <x v="0"/>
    <n v="0"/>
    <n v="0"/>
    <n v="0"/>
  </r>
  <r>
    <d v="2025-08-14T00:00:00"/>
    <s v="16:00:00+00:00"/>
    <n v="1.1719000339507999"/>
    <n v="1.1730999946594201"/>
    <n v="1.1719000339507999"/>
    <n v="1.1727999448776201"/>
    <n v="50"/>
    <n v="1.1736600399017301"/>
    <n v="-1.2199878692626901E-3"/>
    <s v="DOWN"/>
    <n v="1.1768850064277601"/>
    <n v="3.2000541687171503E-5"/>
    <s v="UP"/>
    <n v="-3.2249665260315401E-3"/>
    <x v="0"/>
    <x v="139"/>
    <n v="-2.2725587023845"/>
    <s v="DOWN"/>
    <n v="1.1725000143051101"/>
    <n v="1.1728999614715501"/>
    <n v="1.17425000667572"/>
    <n v="1.17490005493164"/>
    <x v="0"/>
    <n v="1"/>
    <n v="0"/>
    <n v="0"/>
  </r>
  <r>
    <d v="2025-08-14T00:00:00"/>
    <s v="17:00:00+00:00"/>
    <n v="1.1722999811172401"/>
    <n v="1.1729999780654901"/>
    <n v="1.1721999645233101"/>
    <n v="1.1721999645233101"/>
    <n v="0"/>
    <n v="1.17316002845764"/>
    <n v="-5.0001144409184096E-4"/>
    <s v="DOWN"/>
    <n v="1.1769070053100501"/>
    <n v="2.1998882293594499E-5"/>
    <s v="UP"/>
    <n v="-3.7469768524169798E-3"/>
    <x v="0"/>
    <x v="140"/>
    <n v="1.96618145976442"/>
    <s v="UP"/>
    <n v="1.1719000339507999"/>
    <n v="1.1725000143051101"/>
    <n v="1.1730999946594201"/>
    <n v="1.17425000667572"/>
    <x v="0"/>
    <n v="0"/>
    <n v="0"/>
    <n v="0"/>
  </r>
  <r>
    <d v="2025-08-14T00:00:00"/>
    <s v="18:00:00+00:00"/>
    <n v="1.1727499961853001"/>
    <n v="1.1727499961853001"/>
    <n v="1.1727499961853001"/>
    <n v="1.1727499961853001"/>
    <n v="2050"/>
    <n v="1.17294001579284"/>
    <n v="-2.2001266479487701E-4"/>
    <s v="DOWN"/>
    <n v="1.17695500612258"/>
    <n v="4.8000812530535301E-5"/>
    <s v="UP"/>
    <n v="-4.01499032974239E-3"/>
    <x v="0"/>
    <x v="141"/>
    <n v="2.2348360992366798"/>
    <s v="UP"/>
    <n v="1.1721999645233101"/>
    <n v="1.1719000339507999"/>
    <n v="1.1729999780654901"/>
    <n v="1.1730999946594201"/>
    <x v="0"/>
    <n v="0"/>
    <n v="0"/>
    <n v="0"/>
  </r>
  <r>
    <d v="2025-08-14T00:00:00"/>
    <s v="19:00:00+00:00"/>
    <n v="1.1732499599456701"/>
    <n v="1.17330002784729"/>
    <n v="1.1730500459671001"/>
    <n v="1.1730500459671001"/>
    <n v="0"/>
    <n v="1.17260999679565"/>
    <n v="-3.30018997192427E-4"/>
    <s v="DOWN"/>
    <n v="1.17702600479125"/>
    <n v="7.0998668670663097E-5"/>
    <s v="UP"/>
    <n v="-4.4160079956054796E-3"/>
    <x v="0"/>
    <x v="142"/>
    <n v="2.4822409900610598"/>
    <s v="UP"/>
    <n v="1.1727499961853001"/>
    <n v="1.1721999645233101"/>
    <n v="1.1727499961853001"/>
    <n v="1.1729999780654901"/>
    <x v="0"/>
    <n v="0"/>
    <n v="0"/>
    <n v="0"/>
  </r>
  <r>
    <d v="2025-08-14T00:00:00"/>
    <s v="20:00:00+00:00"/>
    <n v="1.17334997653961"/>
    <n v="1.17334997653961"/>
    <n v="1.17334997653961"/>
    <n v="1.17334997653961"/>
    <n v="2069"/>
    <n v="1.17270998954772"/>
    <n v="9.9992752075284103E-5"/>
    <s v="UP"/>
    <n v="1.1770930051803501"/>
    <n v="6.7000389099236503E-5"/>
    <s v="UP"/>
    <n v="-4.3830156326294303E-3"/>
    <x v="0"/>
    <x v="143"/>
    <n v="0.50960045935170895"/>
    <s v="UP"/>
    <n v="1.1730500459671001"/>
    <n v="1.1727499961853001"/>
    <n v="1.17330002784729"/>
    <n v="1.1727499961853001"/>
    <x v="0"/>
    <n v="0"/>
    <n v="0"/>
    <n v="0"/>
  </r>
  <r>
    <d v="2025-08-15T00:00:00"/>
    <s v="00:00:00+00:00"/>
    <n v="1.17349994182586"/>
    <n v="1.17349994182586"/>
    <n v="1.17349994182586"/>
    <n v="1.17349994182586"/>
    <n v="0"/>
    <n v="1.1730299711227401"/>
    <n v="3.19981575012118E-4"/>
    <s v="UP"/>
    <n v="1.1771730041503901"/>
    <n v="7.9998970031747095E-5"/>
    <s v="UP"/>
    <n v="-4.1430330276490601E-3"/>
    <x v="0"/>
    <x v="144"/>
    <n v="0.80516656921312002"/>
    <s v="UP"/>
    <n v="1.17334997653961"/>
    <n v="1.1730500459671001"/>
    <n v="1.17334997653961"/>
    <n v="1.17330002784729"/>
    <x v="0"/>
    <n v="1"/>
    <n v="0"/>
    <n v="0"/>
  </r>
  <r>
    <d v="2025-08-15T00:00:00"/>
    <s v="01:00:00+00:00"/>
    <n v="1.17375004291534"/>
    <n v="1.17375004291534"/>
    <n v="1.17375004291534"/>
    <n v="1.17375004291534"/>
    <n v="3"/>
    <n v="1.17331998348236"/>
    <n v="2.9001235961922901E-4"/>
    <s v="UP"/>
    <n v="1.1771890044212301"/>
    <n v="1.60002708433637E-5"/>
    <s v="UP"/>
    <n v="-3.8690209388732E-3"/>
    <x v="0"/>
    <x v="145"/>
    <n v="1.3936114671278901"/>
    <s v="UP"/>
    <n v="1.17349994182586"/>
    <n v="1.17334997653961"/>
    <n v="1.17349994182586"/>
    <n v="1.17334997653961"/>
    <x v="0"/>
    <n v="0"/>
    <n v="0"/>
    <n v="0"/>
  </r>
  <r>
    <d v="2025-08-15T00:00:00"/>
    <s v="02:00:00+00:00"/>
    <n v="1.17390000820159"/>
    <n v="1.17390000820159"/>
    <n v="1.17365002632141"/>
    <n v="1.17365002632141"/>
    <n v="4"/>
    <n v="1.17354998588562"/>
    <n v="2.3000240325932099E-4"/>
    <s v="UP"/>
    <n v="1.1771950054168701"/>
    <n v="6.0009956359685603E-6"/>
    <s v="UP"/>
    <n v="-3.6450195312498399E-3"/>
    <x v="0"/>
    <x v="146"/>
    <n v="0.86590329327765403"/>
    <s v="UP"/>
    <n v="1.17375004291534"/>
    <n v="1.17349994182586"/>
    <n v="1.17375004291534"/>
    <n v="1.17349994182586"/>
    <x v="0"/>
    <n v="0"/>
    <n v="0"/>
    <n v="0"/>
  </r>
  <r>
    <d v="2025-08-15T00:00:00"/>
    <s v="03:00:00+00:00"/>
    <n v="1.17464995384216"/>
    <n v="1.1748000383377"/>
    <n v="1.17464995384216"/>
    <n v="1.1748000383377"/>
    <n v="3"/>
    <n v="1.1738299846649101"/>
    <n v="2.7999877929674101E-4"/>
    <s v="UP"/>
    <n v="1.17719000339508"/>
    <n v="-5.0020217894353096E-6"/>
    <s v="DOWN"/>
    <n v="-3.3600187301636702E-3"/>
    <x v="0"/>
    <x v="147"/>
    <n v="4.2543727421469804"/>
    <s v="UP"/>
    <n v="1.17365002632141"/>
    <n v="1.17375004291534"/>
    <n v="1.17390000820159"/>
    <n v="1.17375004291534"/>
    <x v="0"/>
    <n v="0"/>
    <n v="0"/>
    <n v="0"/>
  </r>
  <r>
    <d v="2025-08-15T00:00:00"/>
    <s v="05:00:00+00:00"/>
    <n v="1.17490005493164"/>
    <n v="1.17490005493164"/>
    <n v="1.17490005493164"/>
    <n v="1.17490005493164"/>
    <n v="4"/>
    <n v="1.17414000034332"/>
    <n v="3.1001567840571698E-4"/>
    <s v="UP"/>
    <n v="1.17716000556945"/>
    <n v="-2.9997825622629601E-5"/>
    <s v="DOWN"/>
    <n v="-3.0200052261353202E-3"/>
    <x v="0"/>
    <x v="148"/>
    <n v="1.3783264547382199"/>
    <s v="UP"/>
    <n v="1.17464995384216"/>
    <n v="1.17365002632141"/>
    <n v="1.1748000383377"/>
    <n v="1.17390000820159"/>
    <x v="0"/>
    <n v="0"/>
    <n v="0"/>
    <n v="0"/>
  </r>
  <r>
    <d v="2025-08-15T00:00:00"/>
    <s v="06:00:00+00:00"/>
    <n v="1.1758500337600699"/>
    <n v="1.1759999990463199"/>
    <n v="1.1755499839782699"/>
    <n v="1.1759999990463199"/>
    <n v="43"/>
    <n v="1.17461001873016"/>
    <n v="4.7001838684090902E-4"/>
    <s v="UP"/>
    <n v="1.17716300725936"/>
    <n v="3.0016899108531401E-6"/>
    <s v="UP"/>
    <n v="-2.5529885292052599E-3"/>
    <x v="0"/>
    <x v="149"/>
    <n v="4.9665853658122199"/>
    <s v="UP"/>
    <n v="1.17490005493164"/>
    <n v="1.17464995384216"/>
    <n v="1.17490005493164"/>
    <n v="1.1748000383377"/>
    <x v="0"/>
    <n v="0"/>
    <n v="0"/>
    <n v="0"/>
  </r>
  <r>
    <d v="2025-08-15T00:00:00"/>
    <s v="07:00:00+00:00"/>
    <n v="1.1770000457763601"/>
    <n v="1.1770000457763601"/>
    <n v="1.1763499975204399"/>
    <n v="1.1764500141143699"/>
    <n v="13"/>
    <n v="1.1752600193023599"/>
    <n v="6.50000572204545E-4"/>
    <s v="UP"/>
    <n v="1.17716700792312"/>
    <n v="4.0006637573863904E-6"/>
    <s v="UP"/>
    <n v="-1.9069886207581099E-3"/>
    <x v="0"/>
    <x v="150"/>
    <n v="5.2056240261420399"/>
    <s v="UP"/>
    <n v="1.1755499839782699"/>
    <n v="1.17490005493164"/>
    <n v="1.1759999990463199"/>
    <n v="1.17490005493164"/>
    <x v="0"/>
    <n v="0"/>
    <n v="0"/>
    <n v="0"/>
  </r>
  <r>
    <d v="2025-08-15T00:00:00"/>
    <s v="08:00:00+00:00"/>
    <n v="1.1770000457763601"/>
    <n v="1.1770000457763601"/>
    <n v="1.1770000457763601"/>
    <n v="1.1770000457763601"/>
    <n v="12"/>
    <n v="1.17588002681732"/>
    <n v="6.2000751495361296E-4"/>
    <s v="UP"/>
    <n v="1.17719200849533"/>
    <n v="2.5000572204669698E-5"/>
    <s v="UP"/>
    <n v="-1.3119816780091599E-3"/>
    <x v="0"/>
    <x v="150"/>
    <n v="-7.1054273576010003E-15"/>
    <s v="DOWN"/>
    <n v="1.1763499975204399"/>
    <n v="1.1755499839782699"/>
    <n v="1.1770000457763601"/>
    <n v="1.1759999990463199"/>
    <x v="0"/>
    <n v="0"/>
    <n v="0"/>
    <n v="0"/>
  </r>
  <r>
    <d v="2025-08-15T00:00:00"/>
    <s v="09:00:00+00:00"/>
    <n v="1.1770000457763601"/>
    <n v="1.1770000457763601"/>
    <n v="1.1769499778747501"/>
    <n v="1.1770000457763601"/>
    <n v="53"/>
    <n v="1.17635004520416"/>
    <n v="4.7001838684090902E-4"/>
    <s v="UP"/>
    <n v="1.17720700979232"/>
    <n v="1.50012969970525E-5"/>
    <s v="UP"/>
    <n v="-8.5696458816530898E-4"/>
    <x v="0"/>
    <x v="150"/>
    <n v="0"/>
    <s v="DOWN"/>
    <n v="1.1770000457763601"/>
    <n v="1.1763499975204399"/>
    <n v="1.1770000457763601"/>
    <n v="1.1770000457763601"/>
    <x v="0"/>
    <n v="0"/>
    <n v="0"/>
    <n v="0"/>
  </r>
  <r>
    <d v="2025-08-15T00:00:00"/>
    <s v="10:00:00+00:00"/>
    <n v="1.1773500442504801"/>
    <n v="1.1773500442504801"/>
    <n v="1.1773500442504801"/>
    <n v="1.1773500442504801"/>
    <n v="71"/>
    <n v="1.17684004306793"/>
    <n v="4.8999786376957501E-4"/>
    <s v="UP"/>
    <n v="1.1772290110588"/>
    <n v="2.2001266479332298E-5"/>
    <s v="UP"/>
    <n v="-3.8896799087506602E-4"/>
    <x v="0"/>
    <x v="151"/>
    <n v="1.6880563679265901"/>
    <s v="UP"/>
    <n v="1.1769499778747501"/>
    <n v="1.1770000457763601"/>
    <n v="1.1770000457763601"/>
    <n v="1.1770000457763601"/>
    <x v="0"/>
    <n v="0"/>
    <n v="0"/>
    <n v="0"/>
  </r>
  <r>
    <d v="2025-08-15T00:00:00"/>
    <s v="11:00:00+00:00"/>
    <n v="1.1771500110626201"/>
    <n v="1.1771500110626201"/>
    <n v="1.1771500110626201"/>
    <n v="1.1771500110626201"/>
    <n v="1"/>
    <n v="1.17710003852844"/>
    <n v="2.5999546051025298E-4"/>
    <s v="UP"/>
    <n v="1.1772250103950499"/>
    <n v="-4.0006637571643399E-6"/>
    <s v="DOWN"/>
    <n v="-1.2497186660764801E-4"/>
    <x v="0"/>
    <x v="152"/>
    <n v="-1.4571470971862299"/>
    <s v="DOWN"/>
    <n v="1.1773500442504801"/>
    <n v="1.1769499778747501"/>
    <n v="1.1773500442504801"/>
    <n v="1.1770000457763601"/>
    <x v="0"/>
    <n v="0"/>
    <n v="0"/>
    <n v="0"/>
  </r>
  <r>
    <d v="2025-08-15T00:00:00"/>
    <s v="12:00:00+00:00"/>
    <n v="1.1774499416351301"/>
    <n v="1.17844998836517"/>
    <n v="1.1761499643325799"/>
    <n v="1.1774499416351301"/>
    <n v="147"/>
    <n v="1.1771900177001899"/>
    <n v="8.9979171752796407E-5"/>
    <s v="UP"/>
    <n v="1.1772330093383701"/>
    <n v="7.9989433288130096E-6"/>
    <s v="UP"/>
    <n v="-4.2991638183664797E-5"/>
    <x v="0"/>
    <x v="153"/>
    <n v="1.5664019002763301"/>
    <s v="UP"/>
    <n v="1.1771500110626201"/>
    <n v="1.1773500442504801"/>
    <n v="1.1771500110626201"/>
    <n v="1.1773500442504801"/>
    <x v="0"/>
    <n v="0"/>
    <n v="0"/>
    <n v="0"/>
  </r>
  <r>
    <d v="2025-08-15T00:00:00"/>
    <s v="13:00:00+00:00"/>
    <n v="1.17890000343322"/>
    <n v="1.17890000343322"/>
    <n v="1.1771999597549401"/>
    <n v="1.17844998836517"/>
    <n v="20"/>
    <n v="1.17757000923156"/>
    <n v="3.7999153137202498E-4"/>
    <s v="UP"/>
    <n v="1.1772640085220301"/>
    <n v="3.09991836546785E-5"/>
    <s v="UP"/>
    <n v="3.0600070953368198E-4"/>
    <x v="1"/>
    <x v="154"/>
    <n v="6.5584408871723996"/>
    <s v="UP"/>
    <n v="1.1761499643325799"/>
    <n v="1.1771500110626201"/>
    <n v="1.17844998836517"/>
    <n v="1.1771500110626201"/>
    <x v="0"/>
    <n v="0"/>
    <n v="0"/>
    <n v="0"/>
  </r>
  <r>
    <d v="2025-08-15T00:00:00"/>
    <s v="14:00:00+00:00"/>
    <n v="1.1798000335693299"/>
    <n v="1.1800500154495199"/>
    <n v="1.17935001850128"/>
    <n v="1.17935001850128"/>
    <n v="59"/>
    <n v="1.1781300067901599"/>
    <n v="5.5999755859392699E-4"/>
    <s v="UP"/>
    <n v="1.1773240089416499"/>
    <n v="6.0000419616734698E-5"/>
    <s v="UP"/>
    <n v="8.0599784851087498E-4"/>
    <x v="1"/>
    <x v="155"/>
    <n v="3.3011764256922902"/>
    <s v="UP"/>
    <n v="1.1771999597549401"/>
    <n v="1.1761499643325799"/>
    <n v="1.17890000343322"/>
    <n v="1.17844998836517"/>
    <x v="1"/>
    <n v="0"/>
    <n v="0"/>
    <n v="0"/>
  </r>
  <r>
    <d v="2025-08-15T00:00:00"/>
    <s v="15:00:00+00:00"/>
    <n v="1.17920005321502"/>
    <n v="1.1800500154495199"/>
    <n v="1.17910003662109"/>
    <n v="1.1797499656677199"/>
    <n v="237"/>
    <n v="1.1785000085830599"/>
    <n v="3.7000179290758102E-4"/>
    <s v="UP"/>
    <n v="1.17734801054"/>
    <n v="2.4001598358136499E-5"/>
    <s v="UP"/>
    <n v="1.1519980430603201E-3"/>
    <x v="1"/>
    <x v="156"/>
    <n v="-4.6383093533833204"/>
    <s v="DOWN"/>
    <n v="1.17935001850128"/>
    <n v="1.1771999597549401"/>
    <n v="1.1800500154495199"/>
    <n v="1.17890000343322"/>
    <x v="1"/>
    <n v="0"/>
    <n v="0"/>
    <n v="0"/>
  </r>
  <r>
    <d v="2025-08-15T00:00:00"/>
    <s v="16:00:00+00:00"/>
    <n v="1.17900002002716"/>
    <n v="1.17925000190734"/>
    <n v="1.1788500547409"/>
    <n v="1.17900002002716"/>
    <n v="0"/>
    <n v="1.1788700103759699"/>
    <n v="3.7000179290780301E-4"/>
    <s v="UP"/>
    <n v="1.17733501195907"/>
    <n v="-1.2998580932510599E-5"/>
    <s v="DOWN"/>
    <n v="1.53499841690063E-3"/>
    <x v="1"/>
    <x v="157"/>
    <n v="-1.51875105723557"/>
    <s v="DOWN"/>
    <n v="1.17910003662109"/>
    <n v="1.17935001850128"/>
    <n v="1.1800500154495199"/>
    <n v="1.1800500154495199"/>
    <x v="0"/>
    <n v="0"/>
    <n v="0"/>
    <n v="0"/>
  </r>
  <r>
    <d v="2025-08-15T00:00:00"/>
    <s v="17:00:00+00:00"/>
    <n v="1.17879998683929"/>
    <n v="1.17904996871948"/>
    <n v="1.17859995365142"/>
    <n v="1.17859995365142"/>
    <n v="882"/>
    <n v="1.1791400194168"/>
    <n v="2.7000904083251899E-4"/>
    <s v="UP"/>
    <n v="1.1773030114173799"/>
    <n v="-3.2000541686949499E-5"/>
    <s v="DOWN"/>
    <n v="1.8370079994200999E-3"/>
    <x v="1"/>
    <x v="158"/>
    <n v="-1.5585003137244899"/>
    <s v="DOWN"/>
    <n v="1.1788500547409"/>
    <n v="1.17910003662109"/>
    <n v="1.17925000190734"/>
    <n v="1.1800500154495199"/>
    <x v="0"/>
    <n v="0"/>
    <n v="0"/>
    <n v="0"/>
  </r>
  <r>
    <d v="2025-08-15T00:00:00"/>
    <s v="18:00:00+00:00"/>
    <n v="1.17900002002716"/>
    <n v="1.17910003662109"/>
    <n v="1.17869997024536"/>
    <n v="1.17894995212554"/>
    <n v="52"/>
    <n v="1.1791600227355901"/>
    <n v="2.0003318786487799E-5"/>
    <s v="UP"/>
    <n v="1.1772530126571601"/>
    <n v="-4.9998760223601801E-5"/>
    <s v="DOWN"/>
    <n v="1.9070100784301901E-3"/>
    <x v="1"/>
    <x v="159"/>
    <n v="0.96865701289909301"/>
    <s v="UP"/>
    <n v="1.17859995365142"/>
    <n v="1.1788500547409"/>
    <n v="1.17904996871948"/>
    <n v="1.17925000190734"/>
    <x v="0"/>
    <n v="0"/>
    <n v="0"/>
    <n v="0"/>
  </r>
  <r>
    <d v="2025-08-15T00:00:00"/>
    <s v="19:00:00+00:00"/>
    <n v="1.17894995212554"/>
    <n v="1.17900002002716"/>
    <n v="1.17875003814697"/>
    <n v="1.17879998683929"/>
    <n v="6"/>
    <n v="1.1789900064468299"/>
    <n v="-1.7001628875723499E-4"/>
    <s v="DOWN"/>
    <n v="1.1772150111198401"/>
    <n v="-3.8001537322918097E-5"/>
    <s v="DOWN"/>
    <n v="1.77499532699587E-3"/>
    <x v="1"/>
    <x v="160"/>
    <n v="-0.43373701170406698"/>
    <s v="DOWN"/>
    <n v="1.17869997024536"/>
    <n v="1.17859995365142"/>
    <n v="1.17910003662109"/>
    <n v="1.17904996871948"/>
    <x v="0"/>
    <n v="0"/>
    <n v="0"/>
    <n v="0"/>
  </r>
  <r>
    <d v="2025-08-15T00:00:00"/>
    <s v="20:00:00+00:00"/>
    <n v="1.17910003662109"/>
    <n v="1.17929995059967"/>
    <n v="1.1788500547409"/>
    <n v="1.17929995059967"/>
    <n v="14"/>
    <n v="1.1789700031280499"/>
    <n v="-2.0003318786709901E-5"/>
    <s v="DOWN"/>
    <n v="1.1771820116042999"/>
    <n v="-3.2999515533482698E-5"/>
    <s v="DOWN"/>
    <n v="1.78799152374264E-3"/>
    <x v="1"/>
    <x v="161"/>
    <n v="0.80736591122079904"/>
    <s v="UP"/>
    <n v="1.17875003814697"/>
    <n v="1.17869997024536"/>
    <n v="1.17900002002716"/>
    <n v="1.17910003662109"/>
    <x v="0"/>
    <n v="0"/>
    <n v="0"/>
    <n v="0"/>
  </r>
  <r>
    <d v="2025-08-17T00:00:00"/>
    <s v="22:00:00+00:00"/>
    <n v="1.1799999475479099"/>
    <n v="1.1799999475479099"/>
    <n v="1.1798499822616499"/>
    <n v="1.1798499822616499"/>
    <n v="1"/>
    <n v="1.1791699886322"/>
    <n v="1.9998550415056799E-4"/>
    <s v="UP"/>
    <n v="1.17720201015472"/>
    <n v="1.99985504150124E-5"/>
    <s v="UP"/>
    <n v="1.9679784774782002E-3"/>
    <x v="1"/>
    <x v="162"/>
    <n v="4.4740735586107299"/>
    <s v="UP"/>
    <n v="1.1788500547409"/>
    <n v="1.17875003814697"/>
    <n v="1.17929995059967"/>
    <n v="1.17900002002716"/>
    <x v="1"/>
    <n v="0"/>
    <n v="0"/>
    <n v="0"/>
  </r>
  <r>
    <d v="2025-08-17T00:00:00"/>
    <s v="23:00:00+00:00"/>
    <n v="1.17925000190734"/>
    <n v="1.17949998378753"/>
    <n v="1.17925000190734"/>
    <n v="1.17949998378753"/>
    <n v="3"/>
    <n v="1.17925999164581"/>
    <n v="9.0003013610839803E-5"/>
    <s v="UP"/>
    <n v="1.17720500946044"/>
    <n v="2.9993057251154198E-6"/>
    <s v="UP"/>
    <n v="2.0549821853639199E-3"/>
    <x v="1"/>
    <x v="163"/>
    <n v="-6.7535922345840103"/>
    <s v="DOWN"/>
    <n v="1.1798499822616499"/>
    <n v="1.1788500547409"/>
    <n v="1.1799999475479099"/>
    <n v="1.17929995059967"/>
    <x v="0"/>
    <n v="1"/>
    <n v="0"/>
    <n v="0"/>
  </r>
  <r>
    <d v="2025-08-18T00:00:00"/>
    <s v="01:00:00+00:00"/>
    <n v="1.1785500049591"/>
    <n v="1.17869997024536"/>
    <n v="1.1785500049591"/>
    <n v="1.17869997024536"/>
    <n v="3"/>
    <n v="1.1791699886322"/>
    <n v="-9.0003013610839803E-5"/>
    <s v="DOWN"/>
    <n v="1.1771590089797901"/>
    <n v="-4.6000480651731097E-5"/>
    <s v="DOWN"/>
    <n v="2.0109796524048198E-3"/>
    <x v="1"/>
    <x v="164"/>
    <n v="-5.5600569131669699"/>
    <s v="DOWN"/>
    <n v="1.17925000190734"/>
    <n v="1.1798499822616499"/>
    <n v="1.17949998378753"/>
    <n v="1.1799999475479099"/>
    <x v="0"/>
    <n v="0"/>
    <n v="0"/>
    <n v="0"/>
  </r>
  <r>
    <d v="2025-08-18T00:00:00"/>
    <s v="02:00:00+00:00"/>
    <n v="1.17850005626678"/>
    <n v="1.17850005626678"/>
    <n v="1.17850005626678"/>
    <n v="1.17850005626678"/>
    <n v="1"/>
    <n v="1.1790800094604399"/>
    <n v="-8.9979171753018505E-5"/>
    <s v="DOWN"/>
    <n v="1.17710601091384"/>
    <n v="-5.2998065948495203E-5"/>
    <s v="DOWN"/>
    <n v="1.97399854660029E-3"/>
    <x v="1"/>
    <x v="165"/>
    <n v="-0.38580652435267299"/>
    <s v="DOWN"/>
    <n v="1.1785500049591"/>
    <n v="1.17925000190734"/>
    <n v="1.17869997024536"/>
    <n v="1.17949998378753"/>
    <x v="0"/>
    <n v="0"/>
    <n v="0"/>
    <n v="0"/>
  </r>
  <r>
    <d v="2025-08-18T00:00:00"/>
    <s v="03:00:00+00:00"/>
    <n v="1.17900002002716"/>
    <n v="1.17900002002716"/>
    <n v="1.17900002002716"/>
    <n v="1.17900002002716"/>
    <n v="1"/>
    <n v="1.1790600061416601"/>
    <n v="-2.0003318786709901E-5"/>
    <s v="DOWN"/>
    <n v="1.1770850110054001"/>
    <n v="-2.09999084472833E-5"/>
    <s v="DOWN"/>
    <n v="1.97499513626087E-3"/>
    <x v="1"/>
    <x v="166"/>
    <n v="3.1016894787643898"/>
    <s v="UP"/>
    <n v="1.17850005626678"/>
    <n v="1.1785500049591"/>
    <n v="1.17850005626678"/>
    <n v="1.17869997024536"/>
    <x v="0"/>
    <n v="0"/>
    <n v="0"/>
    <n v="0"/>
  </r>
  <r>
    <d v="2025-08-18T00:00:00"/>
    <s v="04:00:00+00:00"/>
    <n v="1.17920005321502"/>
    <n v="1.17920005321502"/>
    <n v="1.17914998531341"/>
    <n v="1.17914998531341"/>
    <n v="11"/>
    <n v="1.17890002727508"/>
    <n v="-1.59978866577148E-4"/>
    <s v="DOWN"/>
    <n v="1.1770820116996701"/>
    <n v="-2.9993057251154198E-6"/>
    <s v="DOWN"/>
    <n v="1.81801557540883E-3"/>
    <x v="1"/>
    <x v="167"/>
    <n v="1.2074852525126001"/>
    <s v="UP"/>
    <n v="1.17900002002716"/>
    <n v="1.17850005626678"/>
    <n v="1.17900002002716"/>
    <n v="1.17850005626678"/>
    <x v="1"/>
    <n v="0"/>
    <n v="0"/>
    <n v="0"/>
  </r>
  <r>
    <d v="2025-08-18T00:00:00"/>
    <s v="05:00:00+00:00"/>
    <n v="1.1788500547409"/>
    <n v="1.17904996871948"/>
    <n v="1.1788500547409"/>
    <n v="1.17904996871948"/>
    <n v="8"/>
    <n v="1.1788200378417899"/>
    <n v="-7.9989433288574205E-5"/>
    <s v="DOWN"/>
    <n v="1.1770860123634299"/>
    <n v="4.0006637573863904E-6"/>
    <s v="UP"/>
    <n v="1.7340254783628701E-3"/>
    <x v="1"/>
    <x v="168"/>
    <n v="-3.0960054191825499"/>
    <s v="DOWN"/>
    <n v="1.17914998531341"/>
    <n v="1.17900002002716"/>
    <n v="1.17920005321502"/>
    <n v="1.17900002002716"/>
    <x v="0"/>
    <n v="0"/>
    <n v="0"/>
    <n v="0"/>
  </r>
  <r>
    <d v="2025-08-18T00:00:00"/>
    <s v="06:00:00+00:00"/>
    <n v="1.17799997329711"/>
    <n v="1.1788500547409"/>
    <n v="1.17799997329711"/>
    <n v="1.1788500547409"/>
    <n v="8"/>
    <n v="1.1787100315093899"/>
    <n v="-1.1000633239732701E-4"/>
    <s v="DOWN"/>
    <n v="1.17707201242446"/>
    <n v="-1.39999389650036E-5"/>
    <s v="DOWN"/>
    <n v="1.6380190849305499E-3"/>
    <x v="1"/>
    <x v="169"/>
    <n v="-6.7599615180542596"/>
    <s v="DOWN"/>
    <n v="1.1788500547409"/>
    <n v="1.17914998531341"/>
    <n v="1.17904996871948"/>
    <n v="1.17920005321502"/>
    <x v="0"/>
    <n v="0"/>
    <n v="0"/>
    <n v="0"/>
  </r>
  <r>
    <d v="2025-08-18T00:00:00"/>
    <s v="07:00:00+00:00"/>
    <n v="1.1770000457763601"/>
    <n v="1.1785500049591"/>
    <n v="1.1770000457763601"/>
    <n v="1.17830002307891"/>
    <n v="12"/>
    <n v="1.17841002941131"/>
    <n v="-3.0000209808345098E-4"/>
    <s v="DOWN"/>
    <n v="1.1770240139961201"/>
    <n v="-4.7998428344575498E-5"/>
    <s v="DOWN"/>
    <n v="1.3860154151916701E-3"/>
    <x v="1"/>
    <x v="170"/>
    <n v="-6.5480735399761896"/>
    <s v="DOWN"/>
    <n v="1.17799997329711"/>
    <n v="1.1788500547409"/>
    <n v="1.1788500547409"/>
    <n v="1.17904996871948"/>
    <x v="0"/>
    <n v="0"/>
    <n v="0"/>
    <n v="0"/>
  </r>
  <r>
    <d v="2025-08-18T00:00:00"/>
    <s v="08:00:00+00:00"/>
    <n v="1.1769499778747501"/>
    <n v="1.1771999597549401"/>
    <n v="1.1757500171661299"/>
    <n v="1.1758999824523899"/>
    <n v="15"/>
    <n v="1.1780000209808299"/>
    <n v="-4.1000843048100101E-4"/>
    <s v="DOWN"/>
    <n v="1.1769710135459901"/>
    <n v="-5.3000450134232901E-5"/>
    <s v="DOWN"/>
    <n v="1.0290074348449001E-3"/>
    <x v="1"/>
    <x v="171"/>
    <n v="-0.30449861149281698"/>
    <s v="DOWN"/>
    <n v="1.1770000457763601"/>
    <n v="1.17799997329711"/>
    <n v="1.1785500049591"/>
    <n v="1.1788500547409"/>
    <x v="0"/>
    <n v="0"/>
    <n v="0"/>
    <n v="0"/>
  </r>
  <r>
    <d v="2025-08-18T00:00:00"/>
    <s v="09:00:00+00:00"/>
    <n v="1.1765999794006301"/>
    <n v="1.1771999597549401"/>
    <n v="1.1763499975204399"/>
    <n v="1.1763499975204399"/>
    <n v="6"/>
    <n v="1.17748000621795"/>
    <n v="-5.2001476287855098E-4"/>
    <s v="DOWN"/>
    <n v="1.1769130134582499"/>
    <n v="-5.8000087738152498E-5"/>
    <s v="DOWN"/>
    <n v="5.6699275970450904E-4"/>
    <x v="1"/>
    <x v="172"/>
    <n v="-2.1616009159319902"/>
    <s v="DOWN"/>
    <n v="1.1757500171661299"/>
    <n v="1.1770000457763601"/>
    <n v="1.1771999597549401"/>
    <n v="1.1785500049591"/>
    <x v="0"/>
    <n v="0"/>
    <n v="0"/>
    <n v="0"/>
  </r>
  <r>
    <d v="2025-08-18T00:00:00"/>
    <s v="10:00:00+00:00"/>
    <n v="1.1767499446868801"/>
    <n v="1.1768499612808201"/>
    <n v="1.1765500307083101"/>
    <n v="1.1765999794006301"/>
    <n v="14"/>
    <n v="1.1770599842071501"/>
    <n v="-4.2002201080304502E-4"/>
    <s v="DOWN"/>
    <n v="1.1768520116806001"/>
    <n v="-6.1001777649005697E-5"/>
    <s v="DOWN"/>
    <n v="2.0797252655047001E-4"/>
    <x v="1"/>
    <x v="173"/>
    <n v="1.34445367672681"/>
    <s v="UP"/>
    <n v="1.1763499975204399"/>
    <n v="1.1757500171661299"/>
    <n v="1.1771999597549401"/>
    <n v="1.1771999597549401"/>
    <x v="0"/>
    <n v="0"/>
    <n v="0"/>
    <n v="0"/>
  </r>
  <r>
    <d v="2025-08-18T00:00:00"/>
    <s v="11:00:00+00:00"/>
    <n v="1.1762000322341899"/>
    <n v="1.1773500442504801"/>
    <n v="1.1762000322341899"/>
    <n v="1.1770999431610101"/>
    <n v="11"/>
    <n v="1.1766999959945601"/>
    <n v="-3.5998821258553798E-4"/>
    <s v="DOWN"/>
    <n v="1.17677301168441"/>
    <n v="-7.8999996185213903E-5"/>
    <s v="DOWN"/>
    <n v="-7.3015689849853502E-5"/>
    <x v="0"/>
    <x v="174"/>
    <n v="-3.4655187803065801"/>
    <s v="DOWN"/>
    <n v="1.1765500307083101"/>
    <n v="1.1763499975204399"/>
    <n v="1.1768499612808201"/>
    <n v="1.1771999597549401"/>
    <x v="0"/>
    <n v="0"/>
    <n v="0"/>
    <n v="0"/>
  </r>
  <r>
    <d v="2025-08-18T00:00:00"/>
    <s v="12:00:00+00:00"/>
    <n v="1.1757999658584499"/>
    <n v="1.1763499975204399"/>
    <n v="1.1755000352859399"/>
    <n v="1.1762499809265099"/>
    <n v="22"/>
    <n v="1.1764599800109801"/>
    <n v="-2.40015983581587E-4"/>
    <s v="DOWN"/>
    <n v="1.1767120099067601"/>
    <n v="-6.1001777649005697E-5"/>
    <s v="DOWN"/>
    <n v="-2.5202989578243501E-4"/>
    <x v="0"/>
    <x v="175"/>
    <n v="-2.3408620337950401"/>
    <s v="DOWN"/>
    <n v="1.1762000322341899"/>
    <n v="1.1765500307083101"/>
    <n v="1.1773500442504801"/>
    <n v="1.1768499612808201"/>
    <x v="0"/>
    <n v="0"/>
    <n v="0"/>
    <n v="0"/>
  </r>
  <r>
    <d v="2025-08-18T00:00:00"/>
    <s v="13:00:00+00:00"/>
    <n v="1.1763000488281199"/>
    <n v="1.1763000488281199"/>
    <n v="1.1757999658584499"/>
    <n v="1.1760499477386399"/>
    <n v="121"/>
    <n v="1.1763299942016601"/>
    <n v="-1.2998580932621601E-4"/>
    <s v="DOWN"/>
    <n v="1.17665801048278"/>
    <n v="-5.3999423980544103E-5"/>
    <s v="DOWN"/>
    <n v="-3.28016281128107E-4"/>
    <x v="0"/>
    <x v="176"/>
    <n v="4.8000825556945799"/>
    <s v="UP"/>
    <n v="1.1755000352859399"/>
    <n v="1.1762000322341899"/>
    <n v="1.1763499975204399"/>
    <n v="1.1773500442504801"/>
    <x v="0"/>
    <n v="0"/>
    <n v="0"/>
    <n v="0"/>
  </r>
  <r>
    <d v="2025-08-18T00:00:00"/>
    <s v="14:00:00+00:00"/>
    <n v="1.17499995231628"/>
    <n v="1.1770000457763601"/>
    <n v="1.17499995231628"/>
    <n v="1.1764500141143699"/>
    <n v="62"/>
    <n v="1.1760099887847899"/>
    <n v="-3.2000541686993901E-4"/>
    <s v="DOWN"/>
    <n v="1.17657800912857"/>
    <n v="-8.0001354217706905E-5"/>
    <s v="DOWN"/>
    <n v="-5.6802034378033897E-4"/>
    <x v="0"/>
    <x v="177"/>
    <n v="-7.1645298331923204"/>
    <s v="DOWN"/>
    <n v="1.1757999658584499"/>
    <n v="1.1755000352859399"/>
    <n v="1.1763000488281199"/>
    <n v="1.1763499975204399"/>
    <x v="0"/>
    <n v="0"/>
    <n v="0"/>
    <n v="0"/>
  </r>
  <r>
    <d v="2025-08-18T00:00:00"/>
    <s v="15:00:00+00:00"/>
    <n v="1.1753499507903999"/>
    <n v="1.1756500005721999"/>
    <n v="1.17484998703002"/>
    <n v="1.17499995231628"/>
    <n v="24"/>
    <n v="1.1757299900054901"/>
    <n v="-2.79998779296963E-4"/>
    <s v="DOWN"/>
    <n v="1.1765380072593601"/>
    <n v="-4.0001869201500203E-5"/>
    <s v="DOWN"/>
    <n v="-8.0801725387580304E-4"/>
    <x v="0"/>
    <x v="178"/>
    <n v="3.1762692608083398"/>
    <s v="UP"/>
    <n v="1.17499995231628"/>
    <n v="1.1757999658584499"/>
    <n v="1.1770000457763601"/>
    <n v="1.1763000488281199"/>
    <x v="0"/>
    <n v="0"/>
    <n v="0"/>
    <n v="0"/>
  </r>
  <r>
    <d v="2025-08-18T00:00:00"/>
    <s v="16:00:00+00:00"/>
    <n v="1.17505002021789"/>
    <n v="1.1751999855041499"/>
    <n v="1.17484998703002"/>
    <n v="1.17499995231628"/>
    <n v="0"/>
    <n v="1.1754999876022301"/>
    <n v="-2.3000240325932099E-4"/>
    <s v="DOWN"/>
    <n v="1.1765050077438299"/>
    <n v="-3.2999515533482698E-5"/>
    <s v="DOWN"/>
    <n v="-1.0050201416016401E-3"/>
    <x v="0"/>
    <x v="179"/>
    <n v="-1.5777085715552801"/>
    <s v="DOWN"/>
    <n v="1.17484998703002"/>
    <n v="1.17499995231628"/>
    <n v="1.1756500005721999"/>
    <n v="1.1770000457763601"/>
    <x v="0"/>
    <n v="0"/>
    <n v="0"/>
    <n v="0"/>
  </r>
  <r>
    <d v="2025-08-18T00:00:00"/>
    <s v="17:00:00+00:00"/>
    <n v="1.17509996891021"/>
    <n v="1.17515003681182"/>
    <n v="1.17455005645751"/>
    <n v="1.17455005645751"/>
    <n v="0"/>
    <n v="1.17535998821258"/>
    <n v="-1.3999938964848099E-4"/>
    <s v="DOWN"/>
    <n v="1.17649600744247"/>
    <n v="-9.0003013610839793E-6"/>
    <s v="DOWN"/>
    <n v="-1.1360192298890399E-3"/>
    <x v="0"/>
    <x v="180"/>
    <n v="0.48747043769537102"/>
    <s v="UP"/>
    <n v="1.17484998703002"/>
    <n v="1.17484998703002"/>
    <n v="1.1751999855041499"/>
    <n v="1.1756500005721999"/>
    <x v="0"/>
    <n v="1"/>
    <n v="0"/>
    <n v="0"/>
  </r>
  <r>
    <d v="2025-08-18T00:00:00"/>
    <s v="18:00:00+00:00"/>
    <n v="1.17464995384216"/>
    <n v="1.17515003681182"/>
    <n v="1.17460000514984"/>
    <n v="1.17484998703002"/>
    <n v="432"/>
    <n v="1.17502996921539"/>
    <n v="-3.3001899719220501E-4"/>
    <s v="DOWN"/>
    <n v="1.17644600629806"/>
    <n v="-5.0001144409117501E-5"/>
    <s v="DOWN"/>
    <n v="-1.41603708267212E-3"/>
    <x v="0"/>
    <x v="181"/>
    <n v="-2.4638001267398102"/>
    <s v="DOWN"/>
    <n v="1.17455005645751"/>
    <n v="1.17484998703002"/>
    <n v="1.17515003681182"/>
    <n v="1.1751999855041499"/>
    <x v="0"/>
    <n v="0"/>
    <n v="0"/>
    <n v="0"/>
  </r>
  <r>
    <d v="2025-08-18T00:00:00"/>
    <s v="19:00:00+00:00"/>
    <n v="1.17484998703002"/>
    <n v="1.17484998703002"/>
    <n v="1.17484998703002"/>
    <n v="1.17484998703002"/>
    <n v="0"/>
    <n v="1.17499997615814"/>
    <n v="-2.99930572511541E-5"/>
    <s v="DOWN"/>
    <n v="1.1763830065727201"/>
    <n v="-6.2999725341850098E-5"/>
    <s v="DOWN"/>
    <n v="-1.3830304145814301E-3"/>
    <x v="0"/>
    <x v="182"/>
    <n v="2.1050930138289701"/>
    <s v="UP"/>
    <n v="1.17460000514984"/>
    <n v="1.17455005645751"/>
    <n v="1.17515003681182"/>
    <n v="1.17515003681182"/>
    <x v="0"/>
    <n v="0"/>
    <n v="0"/>
    <n v="0"/>
  </r>
  <r>
    <d v="2025-08-18T00:00:00"/>
    <s v="20:00:00+00:00"/>
    <n v="1.17495000362396"/>
    <n v="1.17495000362396"/>
    <n v="1.17495000362396"/>
    <n v="1.17495000362396"/>
    <n v="0"/>
    <n v="1.1749199867248501"/>
    <n v="-7.9989433288574205E-5"/>
    <s v="DOWN"/>
    <n v="1.1763860058784401"/>
    <n v="2.9993057251154198E-6"/>
    <s v="UP"/>
    <n v="-1.46601915359512E-3"/>
    <x v="0"/>
    <x v="183"/>
    <n v="1.0791749273301701"/>
    <s v="UP"/>
    <n v="1.17484998703002"/>
    <n v="1.17460000514984"/>
    <n v="1.17484998703002"/>
    <n v="1.17515003681182"/>
    <x v="0"/>
    <n v="0"/>
    <n v="0"/>
    <n v="0"/>
  </r>
  <r>
    <d v="2025-08-18T00:00:00"/>
    <s v="22:00:00+00:00"/>
    <n v="1.1757500171661299"/>
    <n v="1.1757500171661299"/>
    <n v="1.17455005645751"/>
    <n v="1.17455005645751"/>
    <n v="2"/>
    <n v="1.1750599861144999"/>
    <n v="1.3999938964848099E-4"/>
    <s v="UP"/>
    <n v="1.17642400503158"/>
    <n v="3.7999153137180298E-5"/>
    <s v="UP"/>
    <n v="-1.36401891708382E-3"/>
    <x v="0"/>
    <x v="184"/>
    <n v="7.9859743087506896"/>
    <s v="UP"/>
    <n v="1.17495000362396"/>
    <n v="1.17484998703002"/>
    <n v="1.17495000362396"/>
    <n v="1.17484998703002"/>
    <x v="0"/>
    <n v="1"/>
    <n v="0"/>
    <n v="0"/>
  </r>
  <r>
    <d v="2025-08-18T00:00:00"/>
    <s v="23:00:00+00:00"/>
    <n v="1.17484998703002"/>
    <n v="1.17484998703002"/>
    <n v="1.17484998703002"/>
    <n v="1.17484998703002"/>
    <n v="1"/>
    <n v="1.17500998973846"/>
    <n v="-4.9996376037641997E-5"/>
    <s v="DOWN"/>
    <n v="1.1764230036735499"/>
    <n v="-1.0013580322709699E-6"/>
    <s v="DOWN"/>
    <n v="-1.41301393508919E-3"/>
    <x v="0"/>
    <x v="185"/>
    <n v="-5.9370298963560799"/>
    <s v="DOWN"/>
    <n v="1.17455005645751"/>
    <n v="1.17495000362396"/>
    <n v="1.1757500171661299"/>
    <n v="1.17495000362396"/>
    <x v="0"/>
    <n v="0"/>
    <n v="0"/>
    <n v="0"/>
  </r>
  <r>
    <d v="2025-08-19T00:00:00"/>
    <s v="00:00:00+00:00"/>
    <n v="1.17439997196197"/>
    <n v="1.17439997196197"/>
    <n v="1.17439997196197"/>
    <n v="1.17439997196197"/>
    <n v="1"/>
    <n v="1.17495999336242"/>
    <n v="-4.999637603742E-5"/>
    <s v="DOWN"/>
    <n v="1.1764540028571999"/>
    <n v="3.0999183654900599E-5"/>
    <s v="UP"/>
    <n v="-1.49400949478151E-3"/>
    <x v="0"/>
    <x v="186"/>
    <n v="-2.5877775846739102"/>
    <s v="DOWN"/>
    <n v="1.17484998703002"/>
    <n v="1.17455005645751"/>
    <n v="1.17484998703002"/>
    <n v="1.1757500171661299"/>
    <x v="0"/>
    <n v="0"/>
    <n v="0"/>
    <n v="0"/>
  </r>
  <r>
    <d v="2025-08-19T00:00:00"/>
    <s v="01:00:00+00:00"/>
    <n v="1.17385005950927"/>
    <n v="1.17445003986358"/>
    <n v="1.1726499795913601"/>
    <n v="1.17445003986358"/>
    <n v="12"/>
    <n v="1.1747600078582701"/>
    <n v="-1.9998550415056799E-4"/>
    <s v="DOWN"/>
    <n v="1.17649300336837"/>
    <n v="3.9000511169229299E-5"/>
    <s v="UP"/>
    <n v="-1.7329955101012999E-3"/>
    <x v="0"/>
    <x v="187"/>
    <n v="-2.9219693258141399"/>
    <s v="DOWN"/>
    <n v="1.17439997196197"/>
    <n v="1.17484998703002"/>
    <n v="1.17439997196197"/>
    <n v="1.17484998703002"/>
    <x v="0"/>
    <n v="1"/>
    <n v="0"/>
    <n v="0"/>
  </r>
  <r>
    <d v="2025-08-19T00:00:00"/>
    <s v="02:00:00+00:00"/>
    <n v="1.17365002632141"/>
    <n v="1.17414999008178"/>
    <n v="1.17365002632141"/>
    <n v="1.17385005950927"/>
    <n v="4"/>
    <n v="1.17450001239776"/>
    <n v="-2.5999546051025298E-4"/>
    <s v="DOWN"/>
    <n v="1.17652000427246"/>
    <n v="2.7000904083251899E-5"/>
    <s v="UP"/>
    <n v="-2.0199918746948101E-3"/>
    <x v="0"/>
    <x v="188"/>
    <n v="-1.02005798567728"/>
    <s v="DOWN"/>
    <n v="1.1726499795913601"/>
    <n v="1.17439997196197"/>
    <n v="1.17445003986358"/>
    <n v="1.17439997196197"/>
    <x v="0"/>
    <n v="0"/>
    <n v="0"/>
    <n v="0"/>
  </r>
  <r>
    <d v="2025-08-19T00:00:00"/>
    <s v="03:00:00+00:00"/>
    <n v="1.17400002479553"/>
    <n v="1.17435002326965"/>
    <n v="1.17400002479553"/>
    <n v="1.17435002326965"/>
    <n v="11"/>
    <n v="1.17415001392364"/>
    <n v="-3.4999847412109299E-4"/>
    <s v="DOWN"/>
    <n v="1.17654500484466"/>
    <n v="2.5000572204669698E-5"/>
    <s v="UP"/>
    <n v="-2.3949909210205702E-3"/>
    <x v="0"/>
    <x v="189"/>
    <n v="3.6960305733140699"/>
    <s v="UP"/>
    <n v="1.17365002632141"/>
    <n v="1.1726499795913601"/>
    <n v="1.17414999008178"/>
    <n v="1.17445003986358"/>
    <x v="0"/>
    <n v="0"/>
    <n v="0"/>
    <n v="0"/>
  </r>
  <r>
    <d v="2025-08-19T00:00:00"/>
    <s v="04:00:00+00:00"/>
    <n v="1.1748000383377"/>
    <n v="1.1748000383377"/>
    <n v="1.1748000383377"/>
    <n v="1.1748000383377"/>
    <n v="1"/>
    <n v="1.17414002418518"/>
    <n v="-9.9897384642222403E-6"/>
    <s v="DOWN"/>
    <n v="1.1765760064124999"/>
    <n v="3.1001567840638297E-5"/>
    <s v="UP"/>
    <n v="-2.4359822273254299E-3"/>
    <x v="0"/>
    <x v="190"/>
    <n v="7.5828775072220296"/>
    <s v="UP"/>
    <n v="1.17400002479553"/>
    <n v="1.17365002632141"/>
    <n v="1.17435002326965"/>
    <n v="1.17414999008178"/>
    <x v="0"/>
    <n v="0"/>
    <n v="0"/>
    <n v="0"/>
  </r>
  <r>
    <d v="2025-08-19T00:00:00"/>
    <s v="05:00:00+00:00"/>
    <n v="1.17499995231628"/>
    <n v="1.17499995231628"/>
    <n v="1.17499995231628"/>
    <n v="1.17499995231628"/>
    <n v="2"/>
    <n v="1.17426002025604"/>
    <n v="1.19996070861772E-4"/>
    <s v="UP"/>
    <n v="1.1766090059280301"/>
    <n v="3.2999515533482698E-5"/>
    <s v="UP"/>
    <n v="-2.3489856719971498E-3"/>
    <x v="0"/>
    <x v="191"/>
    <n v="1.7433909037772399"/>
    <s v="UP"/>
    <n v="1.1748000383377"/>
    <n v="1.17400002479553"/>
    <n v="1.1748000383377"/>
    <n v="1.17435002326965"/>
    <x v="0"/>
    <n v="0"/>
    <n v="0"/>
    <n v="0"/>
  </r>
  <r>
    <d v="2025-08-19T00:00:00"/>
    <s v="06:00:00+00:00"/>
    <n v="1.1757500171661299"/>
    <n v="1.1757500171661299"/>
    <n v="1.17369997501373"/>
    <n v="1.17369997501373"/>
    <n v="17"/>
    <n v="1.1746400117874101"/>
    <n v="3.7999153137202498E-4"/>
    <s v="UP"/>
    <n v="1.1766540074348399"/>
    <n v="4.5001506805419902E-5"/>
    <s v="UP"/>
    <n v="-2.0139956474305399E-3"/>
    <x v="0"/>
    <x v="192"/>
    <n v="6.0692390928518201"/>
    <s v="UP"/>
    <n v="1.17499995231628"/>
    <n v="1.1748000383377"/>
    <n v="1.17499995231628"/>
    <n v="1.1748000383377"/>
    <x v="0"/>
    <n v="0"/>
    <n v="0"/>
    <n v="0"/>
  </r>
  <r>
    <d v="2025-08-19T00:00:00"/>
    <s v="08:00:00+00:00"/>
    <n v="1.1759999990463199"/>
    <n v="1.1762000322341899"/>
    <n v="1.1757999658584499"/>
    <n v="1.1762000322341899"/>
    <n v="40"/>
    <n v="1.17511000633239"/>
    <n v="4.6999454498286499E-4"/>
    <s v="UP"/>
    <n v="1.1766990065574601"/>
    <n v="4.4999122619460098E-5"/>
    <s v="UP"/>
    <n v="-1.58900022506713E-3"/>
    <x v="0"/>
    <x v="193"/>
    <n v="1.86248981972746"/>
    <s v="UP"/>
    <n v="1.17369997501373"/>
    <n v="1.17499995231628"/>
    <n v="1.1757500171661299"/>
    <n v="1.17499995231628"/>
    <x v="0"/>
    <n v="0"/>
    <n v="0"/>
    <n v="0"/>
  </r>
  <r>
    <d v="2025-08-19T00:00:00"/>
    <s v="09:00:00+00:00"/>
    <n v="1.1765500307083101"/>
    <n v="1.1765500307083101"/>
    <n v="1.1758999824523899"/>
    <n v="1.1761499643325799"/>
    <n v="20"/>
    <n v="1.1756200075149501"/>
    <n v="5.1000118255628503E-4"/>
    <s v="UP"/>
    <n v="1.1767520070075901"/>
    <n v="5.3000450134454898E-5"/>
    <s v="UP"/>
    <n v="-1.1319994926453001E-3"/>
    <x v="0"/>
    <x v="194"/>
    <n v="3.8911127316390899"/>
    <s v="UP"/>
    <n v="1.1757999658584499"/>
    <n v="1.17369997501373"/>
    <n v="1.1762000322341899"/>
    <n v="1.1757500171661299"/>
    <x v="0"/>
    <n v="0"/>
    <n v="0"/>
    <n v="0"/>
  </r>
  <r>
    <d v="2025-08-19T00:00:00"/>
    <s v="10:00:00+00:00"/>
    <n v="1.1773500442504801"/>
    <n v="1.1776000261306701"/>
    <n v="1.1765999794006301"/>
    <n v="1.1765999794006301"/>
    <n v="37"/>
    <n v="1.1761300086975"/>
    <n v="5.1000118255606298E-4"/>
    <s v="UP"/>
    <n v="1.1768060088157599"/>
    <n v="5.4001808166503899E-5"/>
    <s v="UP"/>
    <n v="-6.7600011825574803E-4"/>
    <x v="0"/>
    <x v="195"/>
    <n v="4.9435912700948297"/>
    <s v="UP"/>
    <n v="1.1758999824523899"/>
    <n v="1.1757999658584499"/>
    <n v="1.1765500307083101"/>
    <n v="1.1762000322341899"/>
    <x v="0"/>
    <n v="0"/>
    <n v="0"/>
    <n v="0"/>
  </r>
  <r>
    <d v="2025-08-19T00:00:00"/>
    <s v="11:00:00+00:00"/>
    <n v="1.1769499778747501"/>
    <n v="1.17780005931854"/>
    <n v="1.1769499778747501"/>
    <n v="1.1777000427246"/>
    <n v="38"/>
    <n v="1.1765200138092"/>
    <n v="3.9000511169429099E-4"/>
    <s v="UP"/>
    <n v="1.17684700727462"/>
    <n v="4.0998458862295799E-5"/>
    <s v="UP"/>
    <n v="-3.2699346542375198E-4"/>
    <x v="0"/>
    <x v="196"/>
    <n v="-3.6283984073315798"/>
    <s v="DOWN"/>
    <n v="1.1765999794006301"/>
    <n v="1.1758999824523899"/>
    <n v="1.1776000261306701"/>
    <n v="1.1765500307083101"/>
    <x v="1"/>
    <n v="0"/>
    <n v="0"/>
    <n v="0"/>
  </r>
  <r>
    <d v="2025-08-19T00:00:00"/>
    <s v="12:00:00+00:00"/>
    <n v="1.1759999990463199"/>
    <n v="1.1769000291824301"/>
    <n v="1.1758500337600699"/>
    <n v="1.1769000291824301"/>
    <n v="14"/>
    <n v="1.1765700101852401"/>
    <n v="4.9996376037641997E-5"/>
    <s v="UP"/>
    <n v="1.17685000658035"/>
    <n v="2.9993057251154198E-6"/>
    <s v="UP"/>
    <n v="-2.7999639511122598E-4"/>
    <x v="0"/>
    <x v="197"/>
    <n v="-7.5999762281783898"/>
    <s v="DOWN"/>
    <n v="1.1769499778747501"/>
    <n v="1.1765999794006301"/>
    <n v="1.17780005931854"/>
    <n v="1.1776000261306701"/>
    <x v="0"/>
    <n v="0"/>
    <n v="0"/>
    <n v="0"/>
  </r>
  <r>
    <d v="2025-08-19T00:00:00"/>
    <s v="13:00:00+00:00"/>
    <n v="1.1763499975204399"/>
    <n v="1.1763499975204399"/>
    <n v="1.1756500005721999"/>
    <n v="1.1756500005721999"/>
    <n v="0"/>
    <n v="1.17664000988006"/>
    <n v="6.9999694824351895E-5"/>
    <s v="UP"/>
    <n v="1.17683700561523"/>
    <n v="-1.3000965118470299E-5"/>
    <s v="DOWN"/>
    <n v="-1.9699573516840301E-4"/>
    <x v="0"/>
    <x v="198"/>
    <n v="2.4123861482362798"/>
    <s v="UP"/>
    <n v="1.1758500337600699"/>
    <n v="1.1769499778747501"/>
    <n v="1.1769000291824301"/>
    <n v="1.17780005931854"/>
    <x v="0"/>
    <n v="0"/>
    <n v="0"/>
    <n v="0"/>
  </r>
  <r>
    <d v="2025-08-19T00:00:00"/>
    <s v="14:00:00+00:00"/>
    <n v="1.1756999492645199"/>
    <n v="1.1761000156402499"/>
    <n v="1.1752500534057599"/>
    <n v="1.1761000156402499"/>
    <n v="356"/>
    <n v="1.1764699935912999"/>
    <n v="-1.7001628875745701E-4"/>
    <s v="DOWN"/>
    <n v="1.1768110036849899"/>
    <n v="-2.60019302369407E-5"/>
    <s v="DOWN"/>
    <n v="-3.4101009368892E-4"/>
    <x v="0"/>
    <x v="199"/>
    <n v="-4.7591450542930902"/>
    <s v="DOWN"/>
    <n v="1.1756500005721999"/>
    <n v="1.1758500337600699"/>
    <n v="1.1763499975204399"/>
    <n v="1.1769000291824301"/>
    <x v="0"/>
    <n v="0"/>
    <n v="0"/>
    <n v="0"/>
  </r>
  <r>
    <d v="2025-08-19T00:00:00"/>
    <s v="15:00:00+00:00"/>
    <n v="1.17464995384216"/>
    <n v="1.1756999492645199"/>
    <n v="1.17460000514984"/>
    <n v="1.1756999492645199"/>
    <n v="169"/>
    <n v="1.17592997550964"/>
    <n v="-5.4001808166503895E-4"/>
    <s v="DOWN"/>
    <n v="1.1767640018463099"/>
    <n v="-4.7001838684002E-5"/>
    <s v="DOWN"/>
    <n v="-8.3402633666995697E-4"/>
    <x v="0"/>
    <x v="200"/>
    <n v="-6.5243535779064299"/>
    <s v="DOWN"/>
    <n v="1.1752500534057599"/>
    <n v="1.1756500005721999"/>
    <n v="1.1761000156402499"/>
    <n v="1.1763499975204399"/>
    <x v="0"/>
    <n v="0"/>
    <n v="0"/>
    <n v="0"/>
  </r>
  <r>
    <d v="2025-08-19T00:00:00"/>
    <s v="16:00:00+00:00"/>
    <n v="1.17420005798339"/>
    <n v="1.1744999885559"/>
    <n v="1.17400002479553"/>
    <n v="1.1744999885559"/>
    <n v="85"/>
    <n v="1.1753799915313701"/>
    <n v="-5.4998397827143997E-4"/>
    <s v="DOWN"/>
    <n v="1.1767010021209701"/>
    <n v="-6.2999725341850098E-5"/>
    <s v="DOWN"/>
    <n v="-1.32101058959954E-3"/>
    <x v="0"/>
    <x v="201"/>
    <n v="-2.45318012788566"/>
    <s v="DOWN"/>
    <n v="1.17460000514984"/>
    <n v="1.1752500534057599"/>
    <n v="1.1756999492645199"/>
    <n v="1.1761000156402499"/>
    <x v="0"/>
    <n v="0"/>
    <n v="0"/>
    <n v="0"/>
  </r>
  <r>
    <d v="2025-08-19T00:00:00"/>
    <s v="17:00:00+00:00"/>
    <n v="1.17420005798339"/>
    <n v="1.17420005798339"/>
    <n v="1.17414999008178"/>
    <n v="1.17414999008178"/>
    <n v="9"/>
    <n v="1.1750200033187801"/>
    <n v="-3.5998821258553798E-4"/>
    <s v="DOWN"/>
    <n v="1.17664200305938"/>
    <n v="-5.89990615844637E-5"/>
    <s v="DOWN"/>
    <n v="-1.6219997406006199E-3"/>
    <x v="0"/>
    <x v="201"/>
    <n v="7.1054273576010003E-15"/>
    <s v="UP"/>
    <n v="1.17400002479553"/>
    <n v="1.17460000514984"/>
    <n v="1.1744999885559"/>
    <n v="1.1756999492645199"/>
    <x v="0"/>
    <n v="0"/>
    <n v="0"/>
    <n v="0"/>
  </r>
  <r>
    <d v="2025-08-19T00:00:00"/>
    <s v="18:00:00+00:00"/>
    <n v="1.17330002784729"/>
    <n v="1.17394995689392"/>
    <n v="1.1727999448776201"/>
    <n v="1.17379999160766"/>
    <n v="68"/>
    <n v="1.1744100093841501"/>
    <n v="-6.0999393463134701E-4"/>
    <s v="DOWN"/>
    <n v="1.1765590047836301"/>
    <n v="-8.2998275756862502E-5"/>
    <s v="DOWN"/>
    <n v="-2.1489953994751E-3"/>
    <x v="0"/>
    <x v="202"/>
    <n v="-4.7189848806507797"/>
    <s v="DOWN"/>
    <n v="1.17414999008178"/>
    <n v="1.17400002479553"/>
    <n v="1.17420005798339"/>
    <n v="1.1744999885559"/>
    <x v="0"/>
    <n v="0"/>
    <n v="0"/>
    <n v="0"/>
  </r>
  <r>
    <d v="2025-08-19T00:00:00"/>
    <s v="19:00:00+00:00"/>
    <n v="1.1732000112533501"/>
    <n v="1.1732000112533501"/>
    <n v="1.1728500127792301"/>
    <n v="1.1728500127792301"/>
    <n v="7"/>
    <n v="1.1739100217819201"/>
    <n v="-4.9998760223379703E-4"/>
    <s v="DOWN"/>
    <n v="1.1764450049400299"/>
    <n v="-1.13999843597278E-4"/>
    <s v="DOWN"/>
    <n v="-2.5349831581116199E-3"/>
    <x v="0"/>
    <x v="203"/>
    <n v="-0.49028579634459302"/>
    <s v="DOWN"/>
    <n v="1.1727999448776201"/>
    <n v="1.17414999008178"/>
    <n v="1.17394995689392"/>
    <n v="1.17420005798339"/>
    <x v="0"/>
    <n v="0"/>
    <n v="0"/>
    <n v="0"/>
  </r>
  <r>
    <d v="2025-08-19T00:00:00"/>
    <s v="23:00:00+00:00"/>
    <n v="1.1727000474929801"/>
    <n v="1.1729999780654901"/>
    <n v="1.1727000474929801"/>
    <n v="1.1729999780654901"/>
    <n v="0"/>
    <n v="1.17352004051208"/>
    <n v="-3.8998126983646997E-4"/>
    <s v="DOWN"/>
    <n v="1.1763030052185"/>
    <n v="-1.41999721527064E-4"/>
    <s v="DOWN"/>
    <n v="-2.7829647064210299E-3"/>
    <x v="0"/>
    <x v="204"/>
    <n v="-2.4187027166647899"/>
    <s v="DOWN"/>
    <n v="1.1728500127792301"/>
    <n v="1.1727999448776201"/>
    <n v="1.1732000112533501"/>
    <n v="1.17394995689392"/>
    <x v="0"/>
    <n v="0"/>
    <n v="0"/>
    <n v="0"/>
  </r>
  <r>
    <d v="2025-08-20T00:00:00"/>
    <s v="00:00:00+00:00"/>
    <n v="1.1723500490188501"/>
    <n v="1.1723999977111801"/>
    <n v="1.1719000339507999"/>
    <n v="1.1720000505447301"/>
    <n v="11"/>
    <n v="1.17315003871917"/>
    <n v="-3.7000179290758102E-4"/>
    <s v="DOWN"/>
    <n v="1.1761660051345799"/>
    <n v="-1.37000083923366E-4"/>
    <s v="DOWN"/>
    <n v="-3.0159664154052399E-3"/>
    <x v="0"/>
    <x v="205"/>
    <n v="-1.60933773968322"/>
    <s v="DOWN"/>
    <n v="1.1727000474929801"/>
    <n v="1.1728500127792301"/>
    <n v="1.1729999780654901"/>
    <n v="1.1732000112533501"/>
    <x v="0"/>
    <n v="0"/>
    <n v="0"/>
    <n v="0"/>
  </r>
  <r>
    <d v="2025-08-20T00:00:00"/>
    <s v="01:00:00+00:00"/>
    <n v="1.1716500520706099"/>
    <n v="1.1716500520706099"/>
    <n v="1.1715500354766799"/>
    <n v="1.1715500354766799"/>
    <n v="3"/>
    <n v="1.1726400375366199"/>
    <n v="-5.1000118255628503E-4"/>
    <s v="DOWN"/>
    <n v="1.17601900577545"/>
    <n v="-1.4699935913098299E-4"/>
    <s v="DOWN"/>
    <n v="-3.37896823883054E-3"/>
    <x v="0"/>
    <x v="206"/>
    <n v="-2.9685901519229301"/>
    <s v="DOWN"/>
    <n v="1.1719000339507999"/>
    <n v="1.1727000474929801"/>
    <n v="1.1723999977111801"/>
    <n v="1.1729999780654901"/>
    <x v="0"/>
    <n v="0"/>
    <n v="0"/>
    <n v="0"/>
  </r>
  <r>
    <d v="2025-08-20T00:00:00"/>
    <s v="02:00:00+00:00"/>
    <n v="1.17065000534057"/>
    <n v="1.1711499691009499"/>
    <n v="1.17065000534057"/>
    <n v="1.1710000038146899"/>
    <n v="10"/>
    <n v="1.1721100330352701"/>
    <n v="-5.30004501342773E-4"/>
    <s v="DOWN"/>
    <n v="1.1758560061454699"/>
    <n v="-1.6299962997434701E-4"/>
    <s v="DOWN"/>
    <n v="-3.7459731101989698E-3"/>
    <x v="0"/>
    <x v="207"/>
    <n v="-3.5794695826309901"/>
    <s v="DOWN"/>
    <n v="1.1715500354766799"/>
    <n v="1.1719000339507999"/>
    <n v="1.1716500520706099"/>
    <n v="1.1723999977111801"/>
    <x v="0"/>
    <n v="1"/>
    <n v="0"/>
    <n v="0"/>
  </r>
  <r>
    <d v="2025-08-20T00:00:00"/>
    <s v="03:00:00+00:00"/>
    <n v="1.1717499494552599"/>
    <n v="1.1718499660491899"/>
    <n v="1.1713000535964899"/>
    <n v="1.1713000535964899"/>
    <n v="34"/>
    <n v="1.1718200206756499"/>
    <n v="-2.9001235961900702E-4"/>
    <s v="DOWN"/>
    <n v="1.17571100473403"/>
    <n v="-1.4500141143791701E-4"/>
    <s v="DOWN"/>
    <n v="-3.89098405838006E-3"/>
    <x v="0"/>
    <x v="208"/>
    <n v="10.2510093381938"/>
    <s v="UP"/>
    <n v="1.17065000534057"/>
    <n v="1.1715500354766799"/>
    <n v="1.1711499691009499"/>
    <n v="1.1716500520706099"/>
    <x v="0"/>
    <n v="0"/>
    <n v="0"/>
    <n v="0"/>
  </r>
  <r>
    <d v="2025-08-20T00:00:00"/>
    <s v="04:00:00+00:00"/>
    <n v="1.1721500158309901"/>
    <n v="1.1721999645233101"/>
    <n v="1.1721500158309901"/>
    <n v="1.1721999645233101"/>
    <n v="2"/>
    <n v="1.1717100143432599"/>
    <n v="-1.10006332397549E-4"/>
    <s v="DOWN"/>
    <n v="1.17557500600814"/>
    <n v="-1.35998725891095E-4"/>
    <s v="DOWN"/>
    <n v="-3.8649916648865099E-3"/>
    <x v="0"/>
    <x v="209"/>
    <n v="3.3017853276347999"/>
    <s v="UP"/>
    <n v="1.1713000535964899"/>
    <n v="1.17065000534057"/>
    <n v="1.1718499660491899"/>
    <n v="1.1711499691009499"/>
    <x v="0"/>
    <n v="0"/>
    <n v="0"/>
    <n v="0"/>
  </r>
  <r>
    <d v="2025-08-20T00:00:00"/>
    <s v="05:00:00+00:00"/>
    <n v="1.1723500490188501"/>
    <n v="1.1723999977111801"/>
    <n v="1.1717000007629299"/>
    <n v="1.1717000007629299"/>
    <n v="19"/>
    <n v="1.1717100143432599"/>
    <n v="0"/>
    <s v="DOWN"/>
    <n v="1.1754400062560999"/>
    <n v="-1.3499975204478399E-4"/>
    <s v="DOWN"/>
    <n v="-3.7299919128417299E-3"/>
    <x v="0"/>
    <x v="210"/>
    <n v="1.6446817199048001"/>
    <s v="UP"/>
    <n v="1.1721500158309901"/>
    <n v="1.1713000535964899"/>
    <n v="1.1721999645233101"/>
    <n v="1.1718499660491899"/>
    <x v="0"/>
    <n v="0"/>
    <n v="0"/>
    <n v="0"/>
  </r>
  <r>
    <d v="2025-08-20T00:00:00"/>
    <s v="06:00:00+00:00"/>
    <n v="1.1717499494552599"/>
    <n v="1.1725000143051101"/>
    <n v="1.1708999872207599"/>
    <n v="1.1725000143051101"/>
    <n v="19"/>
    <n v="1.1717299938201899"/>
    <n v="1.9979476928666501E-5"/>
    <s v="UP"/>
    <n v="1.1752750062942501"/>
    <n v="-1.6499996185292899E-4"/>
    <s v="DOWN"/>
    <n v="-3.5450124740601299E-3"/>
    <x v="0"/>
    <x v="211"/>
    <n v="-3.0401414828336502"/>
    <s v="DOWN"/>
    <n v="1.1717000007629299"/>
    <n v="1.1721500158309901"/>
    <n v="1.1723999977111801"/>
    <n v="1.1721999645233101"/>
    <x v="0"/>
    <n v="0"/>
    <n v="0"/>
    <n v="0"/>
  </r>
  <r>
    <d v="2025-08-20T00:00:00"/>
    <s v="07:00:00+00:00"/>
    <n v="1.1723500490188501"/>
    <n v="1.1727499961853001"/>
    <n v="1.1723500490188501"/>
    <n v="1.1723500490188501"/>
    <n v="11"/>
    <n v="1.1720700025558399"/>
    <n v="3.4000873565687102E-4"/>
    <s v="UP"/>
    <n v="1.17513700723648"/>
    <n v="-1.37999057769899E-4"/>
    <s v="DOWN"/>
    <n v="-3.0670046806333599E-3"/>
    <x v="0"/>
    <x v="212"/>
    <n v="4.9743712615918199"/>
    <s v="UP"/>
    <n v="1.1708999872207599"/>
    <n v="1.1717000007629299"/>
    <n v="1.1725000143051101"/>
    <n v="1.1723999977111801"/>
    <x v="0"/>
    <n v="0"/>
    <n v="0"/>
    <n v="0"/>
  </r>
  <r>
    <d v="2025-08-20T00:00:00"/>
    <s v="08:00:00+00:00"/>
    <n v="1.1720999479293801"/>
    <n v="1.1730999946594201"/>
    <n v="1.1720999479293801"/>
    <n v="1.1730999946594201"/>
    <n v="13"/>
    <n v="1.1721400022506701"/>
    <n v="6.9999694824129905E-5"/>
    <s v="UP"/>
    <n v="1.1750080060958801"/>
    <n v="-1.29001140594331E-4"/>
    <s v="DOWN"/>
    <n v="-2.8680038452148999E-3"/>
    <x v="0"/>
    <x v="213"/>
    <n v="-1.3749211000772901"/>
    <s v="DOWN"/>
    <n v="1.1723500490188501"/>
    <n v="1.1708999872207599"/>
    <n v="1.1727499961853001"/>
    <n v="1.1725000143051101"/>
    <x v="0"/>
    <n v="0"/>
    <n v="0"/>
    <n v="0"/>
  </r>
  <r>
    <d v="2025-08-20T00:00:00"/>
    <s v="09:00:00+00:00"/>
    <n v="1.1728500127792301"/>
    <n v="1.1728500127792301"/>
    <n v="1.1720999479293801"/>
    <n v="1.1721500158309901"/>
    <n v="10"/>
    <n v="1.1722800016403101"/>
    <n v="1.3999938964848099E-4"/>
    <s v="UP"/>
    <n v="1.17489500522613"/>
    <n v="-1.13000869750967E-4"/>
    <s v="DOWN"/>
    <n v="-2.6150035858154498E-3"/>
    <x v="0"/>
    <x v="214"/>
    <n v="5.9322296829193899"/>
    <s v="UP"/>
    <n v="1.1720999479293801"/>
    <n v="1.1723500490188501"/>
    <n v="1.1730999946594201"/>
    <n v="1.1727499961853001"/>
    <x v="0"/>
    <n v="0"/>
    <n v="0"/>
    <n v="0"/>
  </r>
  <r>
    <d v="2025-08-20T00:00:00"/>
    <s v="10:00:00+00:00"/>
    <n v="1.17330002784729"/>
    <n v="1.17375004291534"/>
    <n v="1.1731499433517401"/>
    <n v="1.1731499433517401"/>
    <n v="14"/>
    <n v="1.172469997406"/>
    <n v="1.8999576568590101E-4"/>
    <s v="UP"/>
    <n v="1.1747810053825301"/>
    <n v="-1.1399984359750001E-4"/>
    <s v="DOWN"/>
    <n v="-2.31100797653205E-3"/>
    <x v="0"/>
    <x v="215"/>
    <n v="3.25126823106902"/>
    <s v="UP"/>
    <n v="1.1720999479293801"/>
    <n v="1.1720999479293801"/>
    <n v="1.1728500127792301"/>
    <n v="1.1730999946594201"/>
    <x v="0"/>
    <n v="0"/>
    <n v="0"/>
    <n v="0"/>
  </r>
  <r>
    <d v="2025-08-20T00:00:00"/>
    <s v="11:00:00+00:00"/>
    <n v="1.1726499795913601"/>
    <n v="1.1729500293731601"/>
    <n v="1.1725499629974301"/>
    <n v="1.1728999614715501"/>
    <n v="17"/>
    <n v="1.1726500034332199"/>
    <n v="1.8000602722167901E-4"/>
    <s v="UP"/>
    <n v="1.17465000391006"/>
    <n v="-1.31001472473135E-4"/>
    <s v="DOWN"/>
    <n v="-2.0000004768372299E-3"/>
    <x v="0"/>
    <x v="216"/>
    <n v="-4.1271500755588999"/>
    <s v="DOWN"/>
    <n v="1.1731499433517401"/>
    <n v="1.1720999479293801"/>
    <n v="1.17375004291534"/>
    <n v="1.1728500127792301"/>
    <x v="0"/>
    <n v="0"/>
    <n v="0"/>
    <n v="0"/>
  </r>
  <r>
    <d v="2025-08-20T00:00:00"/>
    <s v="12:00:00+00:00"/>
    <n v="1.1757500171661299"/>
    <n v="1.1757500171661299"/>
    <n v="1.1730500459671001"/>
    <n v="1.1730500459671001"/>
    <n v="61"/>
    <n v="1.17332999706268"/>
    <n v="6.7999362945569898E-4"/>
    <s v="UP"/>
    <n v="1.17458800315856"/>
    <n v="-6.2000751495316906E-5"/>
    <s v="DOWN"/>
    <n v="-1.2580060958862201E-3"/>
    <x v="0"/>
    <x v="217"/>
    <n v="16.825930554734501"/>
    <s v="UP"/>
    <n v="1.1725499629974301"/>
    <n v="1.1731499433517401"/>
    <n v="1.1729500293731601"/>
    <n v="1.17375004291534"/>
    <x v="1"/>
    <n v="0"/>
    <n v="0"/>
    <n v="0"/>
  </r>
  <r>
    <d v="2025-08-20T00:00:00"/>
    <s v="13:00:00+00:00"/>
    <n v="1.17435002326965"/>
    <n v="1.1756500005721999"/>
    <n v="1.17435002326965"/>
    <n v="1.1754499673843299"/>
    <n v="63"/>
    <n v="1.17378001213073"/>
    <n v="4.50015068054199E-4"/>
    <s v="UP"/>
    <n v="1.1745150041580199"/>
    <n v="-7.2999000549245298E-5"/>
    <s v="DOWN"/>
    <n v="-7.3499202728277702E-4"/>
    <x v="0"/>
    <x v="218"/>
    <n v="-7.8905341837661904"/>
    <s v="DOWN"/>
    <n v="1.1730500459671001"/>
    <n v="1.1725499629974301"/>
    <n v="1.1757500171661299"/>
    <n v="1.1729500293731601"/>
    <x v="0"/>
    <n v="0"/>
    <n v="0"/>
    <n v="0"/>
  </r>
  <r>
    <d v="2025-08-20T00:00:00"/>
    <s v="14:00:00+00:00"/>
    <n v="1.17499995231628"/>
    <n v="1.17515003681182"/>
    <n v="1.17349994182586"/>
    <n v="1.17464995384216"/>
    <n v="74"/>
    <n v="1.1742100000381399"/>
    <n v="4.2998790740966699E-4"/>
    <s v="UP"/>
    <n v="1.17447500228881"/>
    <n v="-4.0001869201722302E-5"/>
    <s v="DOWN"/>
    <n v="-2.6500225067138601E-4"/>
    <x v="0"/>
    <x v="219"/>
    <n v="2.8100843720280402"/>
    <s v="UP"/>
    <n v="1.17435002326965"/>
    <n v="1.1730500459671001"/>
    <n v="1.1756500005721999"/>
    <n v="1.1757500171661299"/>
    <x v="0"/>
    <n v="0"/>
    <n v="0"/>
    <n v="0"/>
  </r>
  <r>
    <d v="2025-08-20T00:00:00"/>
    <s v="15:00:00+00:00"/>
    <n v="1.1730999946594201"/>
    <n v="1.17460000514984"/>
    <n v="1.1730999946594201"/>
    <n v="1.17460000514984"/>
    <n v="59"/>
    <n v="1.17416999340057"/>
    <n v="-4.0006637573197697E-5"/>
    <s v="DOWN"/>
    <n v="1.17439800262451"/>
    <n v="-7.6999664306631703E-5"/>
    <s v="DOWN"/>
    <n v="-2.28009223937952E-4"/>
    <x v="0"/>
    <x v="220"/>
    <n v="-8.9929588172965094"/>
    <s v="DOWN"/>
    <n v="1.17349994182586"/>
    <n v="1.17435002326965"/>
    <n v="1.17515003681182"/>
    <n v="1.1756500005721999"/>
    <x v="0"/>
    <n v="0"/>
    <n v="0"/>
    <n v="0"/>
  </r>
  <r>
    <d v="2025-08-20T00:00:00"/>
    <s v="16:00:00+00:00"/>
    <n v="1.17425000667572"/>
    <n v="1.17439997196197"/>
    <n v="1.17340004444122"/>
    <n v="1.17340004444122"/>
    <n v="43"/>
    <n v="1.17448999881744"/>
    <n v="3.2000541686993901E-4"/>
    <s v="UP"/>
    <n v="1.17435100317001"/>
    <n v="-4.6999454498264303E-5"/>
    <s v="DOWN"/>
    <n v="1.3899564743025101E-4"/>
    <x v="1"/>
    <x v="221"/>
    <n v="4.9714786942943698"/>
    <s v="UP"/>
    <n v="1.1730999946594201"/>
    <n v="1.17349994182586"/>
    <n v="1.17460000514984"/>
    <n v="1.17515003681182"/>
    <x v="0"/>
    <n v="0"/>
    <n v="0"/>
    <n v="0"/>
  </r>
  <r>
    <d v="2025-08-20T00:00:00"/>
    <s v="17:00:00+00:00"/>
    <n v="1.1756500005721999"/>
    <n v="1.1756500005721999"/>
    <n v="1.1744999885559"/>
    <n v="1.1744999885559"/>
    <n v="36"/>
    <n v="1.1744699954986499"/>
    <n v="-2.0003318786487799E-5"/>
    <s v="DOWN"/>
    <n v="1.1743290042877099"/>
    <n v="-2.1998882293816601E-5"/>
    <s v="DOWN"/>
    <n v="1.4099121093757899E-4"/>
    <x v="1"/>
    <x v="222"/>
    <n v="5.2533057998809296"/>
    <s v="UP"/>
    <n v="1.17340004444122"/>
    <n v="1.1730999946594201"/>
    <n v="1.17439997196197"/>
    <n v="1.17460000514984"/>
    <x v="0"/>
    <n v="0"/>
    <n v="0"/>
    <n v="0"/>
  </r>
  <r>
    <d v="2025-08-20T00:00:00"/>
    <s v="18:00:00+00:00"/>
    <n v="1.17394995689392"/>
    <n v="1.1756000518798799"/>
    <n v="1.17390000820159"/>
    <n v="1.1756000518798799"/>
    <n v="30"/>
    <n v="1.17438998222351"/>
    <n v="-8.0013275146617602E-5"/>
    <s v="DOWN"/>
    <n v="1.1742840027809101"/>
    <n v="-4.5001506805419902E-5"/>
    <s v="DOWN"/>
    <n v="1.05979442596382E-4"/>
    <x v="1"/>
    <x v="223"/>
    <n v="-7.2363439914062404"/>
    <s v="DOWN"/>
    <n v="1.1744999885559"/>
    <n v="1.17340004444122"/>
    <n v="1.1756500005721999"/>
    <n v="1.17439997196197"/>
    <x v="0"/>
    <n v="0"/>
    <n v="0"/>
    <n v="0"/>
  </r>
  <r>
    <d v="2025-08-20T00:00:00"/>
    <s v="19:00:00+00:00"/>
    <n v="1.17369997501373"/>
    <n v="1.17420005798339"/>
    <n v="1.17369997501373"/>
    <n v="1.17390000820159"/>
    <n v="8"/>
    <n v="1.174129986763"/>
    <n v="-2.5999546051025298E-4"/>
    <s v="DOWN"/>
    <n v="1.1742420029640099"/>
    <n v="-4.1999816894566703E-5"/>
    <s v="DOWN"/>
    <n v="-1.1201620101930401E-4"/>
    <x v="0"/>
    <x v="224"/>
    <n v="-0.98217919873356796"/>
    <s v="DOWN"/>
    <n v="1.17390000820159"/>
    <n v="1.1744999885559"/>
    <n v="1.1756000518798799"/>
    <n v="1.1756500005721999"/>
    <x v="0"/>
    <n v="0"/>
    <n v="0"/>
    <n v="0"/>
  </r>
  <r>
    <d v="2025-08-20T00:00:00"/>
    <s v="20:00:00+00:00"/>
    <n v="1.17344999313354"/>
    <n v="1.17365002632141"/>
    <n v="1.1732499599456701"/>
    <n v="1.17365002632141"/>
    <n v="0"/>
    <n v="1.1741999864578201"/>
    <n v="6.9999694824351895E-5"/>
    <s v="UP"/>
    <n v="1.1741850018501201"/>
    <n v="-5.7001113891619299E-5"/>
    <s v="DOWN"/>
    <n v="1.4984607696666399E-5"/>
    <x v="1"/>
    <x v="225"/>
    <n v="-1.0157036296816599"/>
    <s v="DOWN"/>
    <n v="1.17369997501373"/>
    <n v="1.17390000820159"/>
    <n v="1.17420005798339"/>
    <n v="1.1756000518798799"/>
    <x v="0"/>
    <n v="0"/>
    <n v="0"/>
    <n v="0"/>
  </r>
  <r>
    <d v="2025-08-20T00:00:00"/>
    <s v="22:00:00+00:00"/>
    <n v="1.17340004444122"/>
    <n v="1.17340004444122"/>
    <n v="1.17340004444122"/>
    <n v="1.17340004444122"/>
    <n v="2"/>
    <n v="1.17402999401092"/>
    <n v="-1.6999244689941401E-4"/>
    <s v="DOWN"/>
    <n v="1.17415300369262"/>
    <n v="-3.1998157501211801E-5"/>
    <s v="DOWN"/>
    <n v="-1.23009681701535E-4"/>
    <x v="0"/>
    <x v="226"/>
    <n v="-0.21311060071641899"/>
    <s v="DOWN"/>
    <n v="1.1732499599456701"/>
    <n v="1.17369997501373"/>
    <n v="1.17365002632141"/>
    <n v="1.17420005798339"/>
    <x v="0"/>
    <n v="0"/>
    <n v="0"/>
    <n v="0"/>
  </r>
  <r>
    <d v="2025-08-21T00:00:00"/>
    <s v="00:00:00+00:00"/>
    <n v="1.1723999977111801"/>
    <n v="1.1725000143051101"/>
    <n v="1.1723999977111801"/>
    <n v="1.1725000143051101"/>
    <n v="21"/>
    <n v="1.1733799934387199"/>
    <n v="-6.50000572204545E-4"/>
    <s v="DOWN"/>
    <n v="1.17409400463104"/>
    <n v="-5.89990615844637E-5"/>
    <s v="DOWN"/>
    <n v="-7.1401119232161704E-4"/>
    <x v="0"/>
    <x v="227"/>
    <n v="-4.1771927985228396"/>
    <s v="DOWN"/>
    <n v="1.17340004444122"/>
    <n v="1.1732499599456701"/>
    <n v="1.17340004444122"/>
    <n v="1.17365002632141"/>
    <x v="0"/>
    <n v="0"/>
    <n v="0"/>
    <n v="0"/>
  </r>
  <r>
    <d v="2025-08-21T00:00:00"/>
    <s v="01:00:00+00:00"/>
    <n v="1.1723500490188501"/>
    <n v="1.1726499795913601"/>
    <n v="1.1723500490188501"/>
    <n v="1.1726499795913601"/>
    <n v="5"/>
    <n v="1.1730600118637"/>
    <n v="-3.1998157501233999E-4"/>
    <s v="DOWN"/>
    <n v="1.1740400052070601"/>
    <n v="-5.3999423980544103E-5"/>
    <s v="DOWN"/>
    <n v="-9.7999334335341294E-4"/>
    <x v="0"/>
    <x v="228"/>
    <n v="-0.20420555631023499"/>
    <s v="DOWN"/>
    <n v="1.1723999977111801"/>
    <n v="1.17340004444122"/>
    <n v="1.1725000143051101"/>
    <n v="1.17340004444122"/>
    <x v="0"/>
    <n v="0"/>
    <n v="0"/>
    <n v="0"/>
  </r>
  <r>
    <d v="2025-08-21T00:00:00"/>
    <s v="02:00:00+00:00"/>
    <n v="1.1725499629974301"/>
    <n v="1.1726499795913601"/>
    <n v="1.1725499629974301"/>
    <n v="1.1726499795913601"/>
    <n v="6"/>
    <n v="1.17283000946044"/>
    <n v="-2.3000240325932099E-4"/>
    <s v="DOWN"/>
    <n v="1.1739890050888"/>
    <n v="-5.1000118255650701E-5"/>
    <s v="DOWN"/>
    <n v="-1.15899562835708E-3"/>
    <x v="0"/>
    <x v="229"/>
    <n v="1.10698545179467"/>
    <s v="UP"/>
    <n v="1.1723500490188501"/>
    <n v="1.1723999977111801"/>
    <n v="1.1726499795913601"/>
    <n v="1.1725000143051101"/>
    <x v="0"/>
    <n v="0"/>
    <n v="0"/>
    <n v="0"/>
  </r>
  <r>
    <d v="2025-08-21T00:00:00"/>
    <s v="06:00:00+00:00"/>
    <n v="1.1712499856948799"/>
    <n v="1.1729999780654901"/>
    <n v="1.1712499856948799"/>
    <n v="1.1729999780654901"/>
    <n v="68"/>
    <n v="1.1723900079727101"/>
    <n v="-4.40001487731933E-4"/>
    <s v="DOWN"/>
    <n v="1.17392100572586"/>
    <n v="-6.7999362945547705E-5"/>
    <s v="DOWN"/>
    <n v="-1.53099775314347E-3"/>
    <x v="0"/>
    <x v="230"/>
    <n v="-5.4206691119646697"/>
    <s v="DOWN"/>
    <n v="1.1725499629974301"/>
    <n v="1.1723500490188501"/>
    <n v="1.1726499795913601"/>
    <n v="1.1726499795913601"/>
    <x v="0"/>
    <n v="0"/>
    <n v="0"/>
    <n v="0"/>
  </r>
  <r>
    <d v="2025-08-21T00:00:00"/>
    <s v="07:00:00+00:00"/>
    <n v="1.17435002326965"/>
    <n v="1.17435002326965"/>
    <n v="1.1708999872207599"/>
    <n v="1.1708999872207599"/>
    <n v="30"/>
    <n v="1.1725800037384"/>
    <n v="1.89995765686123E-4"/>
    <s v="UP"/>
    <n v="1.1739110064506499"/>
    <n v="-9.9992752076172292E-6"/>
    <s v="DOWN"/>
    <n v="-1.3310027122497201E-3"/>
    <x v="0"/>
    <x v="231"/>
    <n v="14.373173337435301"/>
    <s v="UP"/>
    <n v="1.1712499856948799"/>
    <n v="1.1725499629974301"/>
    <n v="1.1729999780654901"/>
    <n v="1.1726499795913601"/>
    <x v="0"/>
    <n v="0"/>
    <n v="0"/>
    <n v="0"/>
  </r>
  <r>
    <d v="2025-08-21T00:00:00"/>
    <s v="08:00:00+00:00"/>
    <n v="1.17375004291534"/>
    <n v="1.17400002479553"/>
    <n v="1.17334997653961"/>
    <n v="1.17379999160766"/>
    <n v="21"/>
    <n v="1.1728500127792301"/>
    <n v="2.7000904083251899E-4"/>
    <s v="UP"/>
    <n v="1.17388700723648"/>
    <n v="-2.3999214172398802E-5"/>
    <s v="DOWN"/>
    <n v="-1.03699445724481E-3"/>
    <x v="0"/>
    <x v="232"/>
    <n v="-2.5309249117163399"/>
    <s v="DOWN"/>
    <n v="1.1708999872207599"/>
    <n v="1.1712499856948799"/>
    <n v="1.17435002326965"/>
    <n v="1.1729999780654901"/>
    <x v="0"/>
    <n v="0"/>
    <n v="0"/>
    <n v="0"/>
  </r>
  <r>
    <d v="2025-08-21T00:00:00"/>
    <s v="09:00:00+00:00"/>
    <n v="1.17404997348785"/>
    <n v="1.17439997196197"/>
    <n v="1.17375004291534"/>
    <n v="1.17375004291534"/>
    <n v="23"/>
    <n v="1.17318999767303"/>
    <n v="3.3998489379882802E-4"/>
    <s v="UP"/>
    <n v="1.17385300636291"/>
    <n v="-3.4000873565531699E-5"/>
    <s v="DOWN"/>
    <n v="-6.6300868988045103E-4"/>
    <x v="0"/>
    <x v="233"/>
    <n v="1.20606319488945"/>
    <s v="UP"/>
    <n v="1.17334997653961"/>
    <n v="1.1708999872207599"/>
    <n v="1.17400002479553"/>
    <n v="1.17435002326965"/>
    <x v="1"/>
    <n v="0"/>
    <n v="0"/>
    <n v="0"/>
  </r>
  <r>
    <d v="2025-08-21T00:00:00"/>
    <s v="10:00:00+00:00"/>
    <n v="1.17334997653961"/>
    <n v="1.17334997653961"/>
    <n v="1.17334997653961"/>
    <n v="1.17334997653961"/>
    <n v="1"/>
    <n v="1.1733500003814601"/>
    <n v="1.6000270843496899E-4"/>
    <s v="UP"/>
    <n v="1.1738230061531001"/>
    <n v="-3.0000209808367298E-5"/>
    <s v="DOWN"/>
    <n v="-4.7300577163711301E-4"/>
    <x v="0"/>
    <x v="234"/>
    <n v="-3.0670073435826302"/>
    <s v="DOWN"/>
    <n v="1.17375004291534"/>
    <n v="1.17334997653961"/>
    <n v="1.17439997196197"/>
    <n v="1.17400002479553"/>
    <x v="0"/>
    <n v="0"/>
    <n v="0"/>
    <n v="0"/>
  </r>
  <r>
    <d v="2025-08-21T00:00:00"/>
    <s v="11:00:00+00:00"/>
    <n v="1.1722500324249201"/>
    <n v="1.17365002632141"/>
    <n v="1.1722500324249201"/>
    <n v="1.17359995841979"/>
    <n v="46"/>
    <n v="1.17355000972747"/>
    <n v="2.00009346008389E-4"/>
    <s v="UP"/>
    <n v="1.1737800073623601"/>
    <n v="-4.2998790741100003E-5"/>
    <s v="DOWN"/>
    <n v="-2.2999763488762399E-4"/>
    <x v="0"/>
    <x v="235"/>
    <n v="-4.4462488235376503"/>
    <s v="DOWN"/>
    <n v="1.17334997653961"/>
    <n v="1.17375004291534"/>
    <n v="1.17334997653961"/>
    <n v="1.17439997196197"/>
    <x v="0"/>
    <n v="0"/>
    <n v="0"/>
    <n v="0"/>
  </r>
  <r>
    <d v="2025-08-21T00:00:00"/>
    <s v="12:00:00+00:00"/>
    <n v="1.17355000972747"/>
    <n v="1.17369997501373"/>
    <n v="1.1719000339507999"/>
    <n v="1.1720499992370601"/>
    <n v="154"/>
    <n v="1.1733900070190399"/>
    <n v="-1.6000270843496899E-4"/>
    <s v="DOWN"/>
    <n v="1.1737740063667199"/>
    <n v="-6.0009956359685603E-6"/>
    <s v="DOWN"/>
    <n v="-3.8399934768662498E-4"/>
    <x v="0"/>
    <x v="236"/>
    <n v="5.6666266122746398"/>
    <s v="UP"/>
    <n v="1.1722500324249201"/>
    <n v="1.17334997653961"/>
    <n v="1.17365002632141"/>
    <n v="1.17334997653961"/>
    <x v="0"/>
    <n v="0"/>
    <n v="0"/>
    <n v="0"/>
  </r>
  <r>
    <d v="2025-08-21T00:00:00"/>
    <s v="13:00:00+00:00"/>
    <n v="1.16999995708465"/>
    <n v="1.1732499599456701"/>
    <n v="1.16999995708465"/>
    <n v="1.1732000112533501"/>
    <n v="409"/>
    <n v="1.1726399898529001"/>
    <n v="-7.5001716613787295E-4"/>
    <s v="DOWN"/>
    <n v="1.17370100498199"/>
    <n v="-7.3001384734982996E-5"/>
    <s v="DOWN"/>
    <n v="-1.0610151290895099E-3"/>
    <x v="0"/>
    <x v="237"/>
    <n v="-11.746621938346699"/>
    <s v="DOWN"/>
    <n v="1.1719000339507999"/>
    <n v="1.1722500324249201"/>
    <n v="1.17369997501373"/>
    <n v="1.17365002632141"/>
    <x v="0"/>
    <n v="0"/>
    <n v="0"/>
    <n v="0"/>
  </r>
  <r>
    <d v="2025-08-21T00:00:00"/>
    <s v="14:00:00+00:00"/>
    <n v="1.16960000991821"/>
    <n v="1.1710000038146899"/>
    <n v="1.16890001296997"/>
    <n v="1.17005002498626"/>
    <n v="83"/>
    <n v="1.17174999713897"/>
    <n v="-8.89992713928089E-4"/>
    <s v="DOWN"/>
    <n v="1.17361300468444"/>
    <n v="-8.8000297546519905E-5"/>
    <s v="DOWN"/>
    <n v="-1.8630075454710801E-3"/>
    <x v="0"/>
    <x v="238"/>
    <n v="-1.0641825186603"/>
    <s v="DOWN"/>
    <n v="1.16999995708465"/>
    <n v="1.1719000339507999"/>
    <n v="1.1732499599456701"/>
    <n v="1.17369997501373"/>
    <x v="0"/>
    <n v="0"/>
    <n v="0"/>
    <n v="0"/>
  </r>
  <r>
    <d v="2025-08-21T00:00:00"/>
    <s v="15:00:00+00:00"/>
    <n v="1.16890001296997"/>
    <n v="1.1707999706268299"/>
    <n v="1.1684999465942301"/>
    <n v="1.1698499917984"/>
    <n v="578"/>
    <n v="1.1708600044250399"/>
    <n v="-8.8999271392831104E-4"/>
    <s v="DOWN"/>
    <n v="1.17349500417709"/>
    <n v="-1.18000507354665E-4"/>
    <s v="DOWN"/>
    <n v="-2.6349997520447302E-3"/>
    <x v="0"/>
    <x v="239"/>
    <n v="-1.85503572221943"/>
    <s v="DOWN"/>
    <n v="1.16890001296997"/>
    <n v="1.16999995708465"/>
    <n v="1.1710000038146899"/>
    <n v="1.1732499599456701"/>
    <x v="0"/>
    <n v="0"/>
    <n v="0"/>
    <n v="0"/>
  </r>
  <r>
    <d v="2025-08-21T00:00:00"/>
    <s v="16:00:00+00:00"/>
    <n v="1.16919994354248"/>
    <n v="1.16919994354248"/>
    <n v="1.1684499979019101"/>
    <n v="1.1686500310897801"/>
    <n v="28"/>
    <n v="1.1702499866485501"/>
    <n v="-6.1001777648916899E-4"/>
    <s v="DOWN"/>
    <n v="1.1733790040016101"/>
    <n v="-1.1600017547608301E-4"/>
    <s v="DOWN"/>
    <n v="-3.12901735305781E-3"/>
    <x v="0"/>
    <x v="240"/>
    <n v="1.4203799611158101"/>
    <s v="UP"/>
    <n v="1.1684999465942301"/>
    <n v="1.16890001296997"/>
    <n v="1.1707999706268299"/>
    <n v="1.1710000038146899"/>
    <x v="0"/>
    <n v="1"/>
    <n v="0"/>
    <n v="0"/>
  </r>
  <r>
    <d v="2025-08-21T00:00:00"/>
    <s v="17:00:00+00:00"/>
    <n v="1.16980004310607"/>
    <n v="1.17005002498626"/>
    <n v="1.16974997520446"/>
    <n v="1.1698499917984"/>
    <n v="23"/>
    <n v="1.16949999332427"/>
    <n v="-7.4999332427982902E-4"/>
    <s v="DOWN"/>
    <n v="1.17326000452041"/>
    <n v="-1.1899948120119801E-4"/>
    <s v="DOWN"/>
    <n v="-3.7600111961364402E-3"/>
    <x v="0"/>
    <x v="241"/>
    <n v="2.8562684682862098"/>
    <s v="UP"/>
    <n v="1.1684499979019101"/>
    <n v="1.1684999465942301"/>
    <n v="1.16919994354248"/>
    <n v="1.1707999706268299"/>
    <x v="0"/>
    <n v="0"/>
    <n v="0"/>
    <n v="0"/>
  </r>
  <r>
    <d v="2025-08-21T00:00:00"/>
    <s v="18:00:00+00:00"/>
    <n v="1.16929996013641"/>
    <n v="1.16974997520446"/>
    <n v="1.1690000295639"/>
    <n v="1.16960000991821"/>
    <n v="53"/>
    <n v="1.16935999393463"/>
    <n v="-1.3999938964848099E-4"/>
    <s v="DOWN"/>
    <n v="1.17312600374221"/>
    <n v="-1.3400077819825099E-4"/>
    <s v="DOWN"/>
    <n v="-3.7660098075866701E-3"/>
    <x v="0"/>
    <x v="242"/>
    <n v="-1.5792112219749499"/>
    <s v="DOWN"/>
    <n v="1.16974997520446"/>
    <n v="1.1684499979019101"/>
    <n v="1.17005002498626"/>
    <n v="1.16919994354248"/>
    <x v="0"/>
    <n v="0"/>
    <n v="0"/>
    <n v="0"/>
  </r>
  <r>
    <d v="2025-08-21T00:00:00"/>
    <s v="19:00:00+00:00"/>
    <n v="1.16914999485015"/>
    <n v="1.16919994354248"/>
    <n v="1.16914999485015"/>
    <n v="1.16919994354248"/>
    <n v="11"/>
    <n v="1.16926999092102"/>
    <n v="-9.0003013610839803E-5"/>
    <s v="DOWN"/>
    <n v="1.1729780030250501"/>
    <n v="-1.48000717163032E-4"/>
    <s v="DOWN"/>
    <n v="-3.7080121040344799E-3"/>
    <x v="0"/>
    <x v="243"/>
    <n v="-0.483823128062077"/>
    <s v="DOWN"/>
    <n v="1.1690000295639"/>
    <n v="1.16974997520446"/>
    <n v="1.16974997520446"/>
    <n v="1.17005002498626"/>
    <x v="0"/>
    <n v="0"/>
    <n v="0"/>
    <n v="0"/>
  </r>
  <r>
    <d v="2025-08-21T00:00:00"/>
    <s v="20:00:00+00:00"/>
    <n v="1.16904997825622"/>
    <n v="1.16904997825622"/>
    <n v="1.16875004768371"/>
    <n v="1.16875004768371"/>
    <n v="0"/>
    <n v="1.1692999839782701"/>
    <n v="2.9993057250932099E-5"/>
    <s v="UP"/>
    <n v="1.17281200170516"/>
    <n v="-1.6600131988519999E-4"/>
    <s v="DOWN"/>
    <n v="-3.5120177268983502E-3"/>
    <x v="0"/>
    <x v="244"/>
    <n v="-0.34008268623857402"/>
    <s v="DOWN"/>
    <n v="1.16914999485015"/>
    <n v="1.1690000295639"/>
    <n v="1.16919994354248"/>
    <n v="1.16974997520446"/>
    <x v="0"/>
    <n v="0"/>
    <n v="0"/>
    <n v="0"/>
  </r>
  <r>
    <d v="2025-08-21T00:00:00"/>
    <s v="22:00:00+00:00"/>
    <n v="1.16935002803802"/>
    <n v="1.16949999332427"/>
    <n v="1.16935002803802"/>
    <n v="1.16949999332427"/>
    <n v="4"/>
    <n v="1.1693300008773799"/>
    <n v="3.0016899108975499E-5"/>
    <s v="UP"/>
    <n v="1.17266000270843"/>
    <n v="-1.5199899673468099E-4"/>
    <s v="DOWN"/>
    <n v="-3.3300018310546899E-3"/>
    <x v="0"/>
    <x v="245"/>
    <n v="1.7427641016194499"/>
    <s v="UP"/>
    <n v="1.16875004768371"/>
    <n v="1.16914999485015"/>
    <n v="1.16904997825622"/>
    <n v="1.16919994354248"/>
    <x v="0"/>
    <n v="0"/>
    <n v="0"/>
    <n v="0"/>
  </r>
  <r>
    <d v="2025-08-22T00:00:00"/>
    <s v="01:00:00+00:00"/>
    <n v="1.16910004615783"/>
    <n v="1.16910004615783"/>
    <n v="1.16910004615783"/>
    <n v="1.16910004615783"/>
    <n v="6"/>
    <n v="1.1691900014877299"/>
    <n v="-1.3999938964848099E-4"/>
    <s v="DOWN"/>
    <n v="1.1725220036506601"/>
    <n v="-1.3799905776967701E-4"/>
    <s v="DOWN"/>
    <n v="-3.3320021629335002E-3"/>
    <x v="0"/>
    <x v="246"/>
    <n v="-0.96908677118616904"/>
    <s v="DOWN"/>
    <n v="1.16935002803802"/>
    <n v="1.16875004768371"/>
    <n v="1.16949999332427"/>
    <n v="1.16904997825622"/>
    <x v="0"/>
    <n v="0"/>
    <n v="0"/>
    <n v="0"/>
  </r>
  <r>
    <d v="2025-08-22T00:00:00"/>
    <s v="02:00:00+00:00"/>
    <n v="1.16919994354248"/>
    <n v="1.16960000991821"/>
    <n v="1.16919994354248"/>
    <n v="1.16929996013641"/>
    <n v="14"/>
    <n v="1.1691699981689401"/>
    <n v="-2.0003318786487799E-5"/>
    <s v="DOWN"/>
    <n v="1.1723790025711001"/>
    <n v="-1.43001079559335E-4"/>
    <s v="DOWN"/>
    <n v="-3.2090044021606499E-3"/>
    <x v="0"/>
    <x v="247"/>
    <n v="0.64149880562865702"/>
    <s v="UP"/>
    <n v="1.16910004615783"/>
    <n v="1.16935002803802"/>
    <n v="1.16910004615783"/>
    <n v="1.16949999332427"/>
    <x v="0"/>
    <n v="0"/>
    <n v="0"/>
    <n v="0"/>
  </r>
  <r>
    <d v="2025-08-22T00:00:00"/>
    <s v="03:00:00+00:00"/>
    <n v="1.1676000356674101"/>
    <n v="1.16894996166229"/>
    <n v="1.1674000024795499"/>
    <n v="1.16894996166229"/>
    <n v="24"/>
    <n v="1.16886000633239"/>
    <n v="-3.09991836547895E-4"/>
    <s v="DOWN"/>
    <n v="1.17221700429916"/>
    <n v="-1.61998271942298E-4"/>
    <s v="DOWN"/>
    <n v="-3.35699796676625E-3"/>
    <x v="0"/>
    <x v="248"/>
    <n v="-5.9818488802663499"/>
    <s v="DOWN"/>
    <n v="1.16919994354248"/>
    <n v="1.16910004615783"/>
    <n v="1.16960000991821"/>
    <n v="1.16910004615783"/>
    <x v="0"/>
    <n v="0"/>
    <n v="0"/>
    <n v="0"/>
  </r>
  <r>
    <d v="2025-08-22T00:00:00"/>
    <s v="04:00:00+00:00"/>
    <n v="1.1668000221252399"/>
    <n v="1.1671999692916799"/>
    <n v="1.1663999557495099"/>
    <n v="1.1671999692916799"/>
    <n v="68"/>
    <n v="1.1684100151062"/>
    <n v="-4.4999122619637701E-4"/>
    <s v="DOWN"/>
    <n v="1.17206000566482"/>
    <n v="-1.5699863433837801E-4"/>
    <s v="DOWN"/>
    <n v="-3.6499905586242498E-3"/>
    <x v="0"/>
    <x v="249"/>
    <n v="-2.5224041997341899"/>
    <s v="DOWN"/>
    <n v="1.1674000024795499"/>
    <n v="1.16919994354248"/>
    <n v="1.16894996166229"/>
    <n v="1.16960000991821"/>
    <x v="0"/>
    <n v="1"/>
    <n v="0"/>
    <n v="0"/>
  </r>
  <r>
    <d v="2025-08-22T00:00:00"/>
    <s v="05:00:00+00:00"/>
    <n v="1.1667000055313099"/>
    <n v="1.1670000553131099"/>
    <n v="1.1666500568389799"/>
    <n v="1.1666500568389799"/>
    <n v="7"/>
    <n v="1.1678800106048499"/>
    <n v="-5.30004501342773E-4"/>
    <s v="DOWN"/>
    <n v="1.17191000461578"/>
    <n v="-1.5000104904161401E-4"/>
    <s v="DOWN"/>
    <n v="-4.0299940109253998E-3"/>
    <x v="0"/>
    <x v="250"/>
    <n v="-0.31064144765082302"/>
    <s v="DOWN"/>
    <n v="1.1663999557495099"/>
    <n v="1.1674000024795499"/>
    <n v="1.1671999692916799"/>
    <n v="1.16894996166229"/>
    <x v="0"/>
    <n v="0"/>
    <n v="0"/>
    <n v="0"/>
  </r>
  <r>
    <d v="2025-08-22T00:00:00"/>
    <s v="06:00:00+00:00"/>
    <n v="1.1671999692916799"/>
    <n v="1.1676000356674101"/>
    <n v="1.1668000221252399"/>
    <n v="1.1669000387191699"/>
    <n v="50"/>
    <n v="1.1674999952316201"/>
    <n v="-3.8001537322984703E-4"/>
    <s v="DOWN"/>
    <n v="1.17177000284194"/>
    <n v="-1.4000177383421901E-4"/>
    <s v="DOWN"/>
    <n v="-4.27000761032103E-3"/>
    <x v="0"/>
    <x v="251"/>
    <n v="3.5966322421883699"/>
    <s v="UP"/>
    <n v="1.1666500568389799"/>
    <n v="1.1663999557495099"/>
    <n v="1.1670000553131099"/>
    <n v="1.1671999692916799"/>
    <x v="0"/>
    <n v="0"/>
    <n v="0"/>
    <n v="0"/>
  </r>
  <r>
    <d v="2025-08-22T00:00:00"/>
    <s v="07:00:00+00:00"/>
    <n v="1.1676000356674101"/>
    <n v="1.1679999828338601"/>
    <n v="1.1670500040054299"/>
    <n v="1.1670500040054299"/>
    <n v="22"/>
    <n v="1.1671800136566099"/>
    <n v="-3.1998157501233999E-4"/>
    <s v="DOWN"/>
    <n v="1.17165600299835"/>
    <n v="-1.1399984359750001E-4"/>
    <s v="DOWN"/>
    <n v="-4.4759893417358702E-3"/>
    <x v="0"/>
    <x v="252"/>
    <n v="2.8139648552573102"/>
    <s v="UP"/>
    <n v="1.1668000221252399"/>
    <n v="1.1666500568389799"/>
    <n v="1.1676000356674101"/>
    <n v="1.1670000553131099"/>
    <x v="0"/>
    <n v="0"/>
    <n v="0"/>
    <n v="0"/>
  </r>
  <r>
    <d v="2025-08-22T00:00:00"/>
    <s v="08:00:00+00:00"/>
    <n v="1.1680500507354701"/>
    <n v="1.1680500507354701"/>
    <n v="1.1674000024795499"/>
    <n v="1.1674499511718699"/>
    <n v="1427"/>
    <n v="1.1672700166702199"/>
    <n v="9.0003013610839803E-5"/>
    <s v="UP"/>
    <n v="1.17155300378799"/>
    <n v="-1.0299921035761201E-4"/>
    <s v="DOWN"/>
    <n v="-4.2829871177674202E-3"/>
    <x v="0"/>
    <x v="253"/>
    <n v="3.10324681859082"/>
    <s v="UP"/>
    <n v="1.1670500040054299"/>
    <n v="1.1668000221252399"/>
    <n v="1.1679999828338601"/>
    <n v="1.1676000356674101"/>
    <x v="0"/>
    <n v="0"/>
    <n v="0"/>
    <n v="0"/>
  </r>
  <r>
    <d v="2025-08-22T00:00:00"/>
    <s v="09:00:00+00:00"/>
    <n v="1.1677999496459901"/>
    <n v="1.1684000492095901"/>
    <n v="1.1677999496459901"/>
    <n v="1.1679999828338601"/>
    <n v="309"/>
    <n v="1.16747000217437"/>
    <n v="1.99985504150346E-4"/>
    <s v="UP"/>
    <n v="1.1714550018310499"/>
    <n v="-9.8001956939652802E-5"/>
    <s v="DOWN"/>
    <n v="-3.9849996566774203E-3"/>
    <x v="0"/>
    <x v="254"/>
    <n v="-1.13900700161108"/>
    <s v="DOWN"/>
    <n v="1.1674000024795499"/>
    <n v="1.1670500040054299"/>
    <n v="1.1680500507354701"/>
    <n v="1.1679999828338601"/>
    <x v="0"/>
    <n v="0"/>
    <n v="0"/>
    <n v="0"/>
  </r>
  <r>
    <d v="2025-08-22T00:00:00"/>
    <s v="10:00:00+00:00"/>
    <n v="1.1677500009536701"/>
    <n v="1.1682000160217201"/>
    <n v="1.1677500009536701"/>
    <n v="1.1680500507354701"/>
    <n v="9"/>
    <n v="1.16768000125885"/>
    <n v="2.0999908447283299E-4"/>
    <s v="UP"/>
    <n v="1.17136300086975"/>
    <n v="-9.2000961303906296E-5"/>
    <s v="DOWN"/>
    <n v="-3.68299961090068E-3"/>
    <x v="0"/>
    <x v="255"/>
    <n v="-0.236528203751873"/>
    <s v="DOWN"/>
    <n v="1.1677999496459901"/>
    <n v="1.1674000024795499"/>
    <n v="1.1684000492095901"/>
    <n v="1.1680500507354701"/>
    <x v="0"/>
    <n v="0"/>
    <n v="0"/>
    <n v="0"/>
  </r>
  <r>
    <d v="2025-08-22T00:00:00"/>
    <s v="11:00:00+00:00"/>
    <n v="1.1686999797821001"/>
    <n v="1.16879999637603"/>
    <n v="1.1678999662399201"/>
    <n v="1.1682000160217201"/>
    <n v="130"/>
    <n v="1.1679800033569301"/>
    <n v="3.0000209808345098E-4"/>
    <s v="UP"/>
    <n v="1.17130399942398"/>
    <n v="-5.9001445770201499E-5"/>
    <s v="DOWN"/>
    <n v="-3.3239960670470299E-3"/>
    <x v="0"/>
    <x v="256"/>
    <n v="6.8302272830839303"/>
    <s v="UP"/>
    <n v="1.1677500009536701"/>
    <n v="1.1677999496459901"/>
    <n v="1.1682000160217201"/>
    <n v="1.1684000492095901"/>
    <x v="0"/>
    <n v="0"/>
    <n v="0"/>
    <n v="0"/>
  </r>
  <r>
    <d v="2025-08-22T00:00:00"/>
    <s v="12:00:00+00:00"/>
    <n v="1.16914999485015"/>
    <n v="1.16945004463195"/>
    <n v="1.1690000295639"/>
    <n v="1.1690000295639"/>
    <n v="120"/>
    <n v="1.16828999519348"/>
    <n v="3.09991836547895E-4"/>
    <s v="UP"/>
    <n v="1.1712739992141701"/>
    <n v="-3.0000209808367298E-5"/>
    <s v="DOWN"/>
    <n v="-2.98400402069076E-3"/>
    <x v="0"/>
    <x v="257"/>
    <n v="2.9311719617272298"/>
    <s v="UP"/>
    <n v="1.1678999662399201"/>
    <n v="1.1677500009536701"/>
    <n v="1.16879999637603"/>
    <n v="1.1682000160217201"/>
    <x v="0"/>
    <n v="0"/>
    <n v="0"/>
    <n v="0"/>
  </r>
  <r>
    <d v="2025-08-22T00:00:00"/>
    <s v="13:00:00+00:00"/>
    <n v="1.1680999994277901"/>
    <n v="1.17005002498626"/>
    <n v="1.1679999828338601"/>
    <n v="1.16960000991821"/>
    <n v="82"/>
    <n v="1.16829998493194"/>
    <n v="9.9897384642222403E-6"/>
    <s v="UP"/>
    <n v="1.1712010002136199"/>
    <n v="-7.2999000549245298E-5"/>
    <s v="DOWN"/>
    <n v="-2.9010152816772898E-3"/>
    <x v="0"/>
    <x v="258"/>
    <n v="-5.7348800513790898"/>
    <s v="DOWN"/>
    <n v="1.1690000295639"/>
    <n v="1.1678999662399201"/>
    <n v="1.16945004463195"/>
    <n v="1.16879999637603"/>
    <x v="0"/>
    <n v="0"/>
    <n v="0"/>
    <n v="0"/>
  </r>
  <r>
    <d v="2025-08-22T00:00:00"/>
    <s v="14:00:00+00:00"/>
    <n v="1.1799499988555899"/>
    <n v="1.1800999641418399"/>
    <n v="1.16929996013641"/>
    <n v="1.16929996013641"/>
    <n v="3441"/>
    <n v="1.1707299947738601"/>
    <n v="2.4300098419189802E-3"/>
    <s v="UP"/>
    <n v="1.17135699987411"/>
    <n v="1.5599966049184501E-4"/>
    <s v="UP"/>
    <n v="-6.27005100250155E-4"/>
    <x v="0"/>
    <x v="259"/>
    <n v="33.939068705121599"/>
    <s v="UP"/>
    <n v="1.1679999828338601"/>
    <n v="1.1690000295639"/>
    <n v="1.17005002498626"/>
    <n v="1.16945004463195"/>
    <x v="0"/>
    <n v="0"/>
    <n v="1"/>
    <n v="0"/>
  </r>
  <r>
    <d v="2025-08-22T00:00:00"/>
    <s v="15:00:00+00:00"/>
    <n v="1.17949998378753"/>
    <n v="1.1812499761581401"/>
    <n v="1.17949998378753"/>
    <n v="1.1799999475479099"/>
    <n v="182"/>
    <n v="1.17307999134063"/>
    <n v="2.34999656677237E-3"/>
    <s v="UP"/>
    <n v="1.1714999985694801"/>
    <n v="1.42998695373597E-4"/>
    <s v="UP"/>
    <n v="1.5799927711486099E-3"/>
    <x v="1"/>
    <x v="260"/>
    <n v="-1.80440529502722"/>
    <s v="DOWN"/>
    <n v="1.16929996013641"/>
    <n v="1.1679999828338601"/>
    <n v="1.1800999641418399"/>
    <n v="1.17005002498626"/>
    <x v="0"/>
    <n v="0"/>
    <n v="0"/>
    <n v="0"/>
  </r>
  <r>
    <d v="2025-08-22T00:00:00"/>
    <s v="16:00:00+00:00"/>
    <n v="1.1802999973297099"/>
    <n v="1.1806499958038299"/>
    <n v="1.17960000038146"/>
    <n v="1.1796499490737899"/>
    <n v="533"/>
    <n v="1.1753999948501499"/>
    <n v="2.3200035095216598E-3"/>
    <s v="UP"/>
    <n v="1.1716709995269701"/>
    <n v="1.7100095748912001E-4"/>
    <s v="UP"/>
    <n v="3.7289953231811599E-3"/>
    <x v="1"/>
    <x v="261"/>
    <n v="1.0939315191752399"/>
    <s v="UP"/>
    <n v="1.17949998378753"/>
    <n v="1.16929996013641"/>
    <n v="1.1812499761581401"/>
    <n v="1.1800999641418399"/>
    <x v="0"/>
    <n v="0"/>
    <n v="0"/>
    <n v="0"/>
  </r>
  <r>
    <d v="2025-08-22T00:00:00"/>
    <s v="17:00:00+00:00"/>
    <n v="1.18225002288818"/>
    <n v="1.1822999715805"/>
    <n v="1.1805000305175699"/>
    <n v="1.1805000305175699"/>
    <n v="352"/>
    <n v="1.1780200004577599"/>
    <n v="2.6200056076048899E-3"/>
    <s v="UP"/>
    <n v="1.17186899900436"/>
    <n v="1.97999477386412E-4"/>
    <s v="UP"/>
    <n v="6.1510014533996396E-3"/>
    <x v="1"/>
    <x v="262"/>
    <n v="2.4675728623877902"/>
    <s v="UP"/>
    <n v="1.17960000038146"/>
    <n v="1.17949998378753"/>
    <n v="1.1806499958038299"/>
    <n v="1.1812499761581401"/>
    <x v="1"/>
    <n v="0"/>
    <n v="1"/>
    <n v="0"/>
  </r>
  <r>
    <d v="2025-08-22T00:00:00"/>
    <s v="18:00:00+00:00"/>
    <n v="1.1805000305175699"/>
    <n v="1.1818499565124501"/>
    <n v="1.1805000305175699"/>
    <n v="1.1818000078201201"/>
    <n v="41"/>
    <n v="1.1805000066757201"/>
    <n v="2.4800062179566301E-3"/>
    <s v="UP"/>
    <n v="1.17203700065612"/>
    <n v="1.6800165176400399E-4"/>
    <s v="UP"/>
    <n v="8.4630060195922605E-3"/>
    <x v="1"/>
    <x v="263"/>
    <n v="-7.0134185418869599"/>
    <s v="DOWN"/>
    <n v="1.1805000305175699"/>
    <n v="1.17960000038146"/>
    <n v="1.1822999715805"/>
    <n v="1.1806499958038299"/>
    <x v="0"/>
    <n v="0"/>
    <n v="0"/>
    <n v="0"/>
  </r>
  <r>
    <d v="2025-08-22T00:00:00"/>
    <s v="19:00:00+00:00"/>
    <n v="1.1800500154495199"/>
    <n v="1.1800999641418399"/>
    <n v="1.1798000335693299"/>
    <n v="1.1800500154495199"/>
    <n v="13"/>
    <n v="1.1805200099944999"/>
    <n v="2.0003318786487799E-5"/>
    <s v="UP"/>
    <n v="1.1721810007095299"/>
    <n v="1.4400005340564601E-4"/>
    <s v="UP"/>
    <n v="8.3390092849731003E-3"/>
    <x v="1"/>
    <x v="264"/>
    <n v="-1.72533473428259"/>
    <s v="DOWN"/>
    <n v="1.1805000305175699"/>
    <n v="1.1805000305175699"/>
    <n v="1.1818499565124501"/>
    <n v="1.1822999715805"/>
    <x v="0"/>
    <n v="0"/>
    <n v="0"/>
    <n v="0"/>
  </r>
  <r>
    <d v="2025-08-22T00:00:00"/>
    <s v="20:00:00+00:00"/>
    <n v="1.1803499460220299"/>
    <n v="1.1808999776840201"/>
    <n v="1.1801999807357699"/>
    <n v="1.1801999807357699"/>
    <n v="37"/>
    <n v="1.1806900024414"/>
    <n v="1.6999244689941401E-4"/>
    <s v="UP"/>
    <n v="1.17232199907302"/>
    <n v="1.40998363494793E-4"/>
    <s v="UP"/>
    <n v="8.36800336837773E-3"/>
    <x v="1"/>
    <x v="265"/>
    <n v="0.52105305468350505"/>
    <s v="UP"/>
    <n v="1.1798000335693299"/>
    <n v="1.1805000305175699"/>
    <n v="1.1800999641418399"/>
    <n v="1.1818499565124501"/>
    <x v="0"/>
    <n v="0"/>
    <n v="0"/>
    <n v="0"/>
  </r>
  <r>
    <d v="2025-08-24T00:00:00"/>
    <s v="22:00:00+00:00"/>
    <n v="1.1793999671936"/>
    <n v="1.1803499460220299"/>
    <n v="1.1793999671936"/>
    <n v="1.1799999475479099"/>
    <n v="25"/>
    <n v="1.1805099964141801"/>
    <n v="-1.8000602722167901E-4"/>
    <s v="DOWN"/>
    <n v="1.1724569988250699"/>
    <n v="1.3499975204478399E-4"/>
    <s v="UP"/>
    <n v="8.0529975891112607E-3"/>
    <x v="1"/>
    <x v="266"/>
    <n v="-3.8568801063356601"/>
    <s v="DOWN"/>
    <n v="1.1801999807357699"/>
    <n v="1.1798000335693299"/>
    <n v="1.1808999776840201"/>
    <n v="1.1800999641418399"/>
    <x v="1"/>
    <n v="0"/>
    <n v="0"/>
    <n v="0"/>
  </r>
  <r>
    <d v="2025-08-24T00:00:00"/>
    <s v="23:00:00+00:00"/>
    <n v="1.17910003662109"/>
    <n v="1.17945003509521"/>
    <n v="1.17900002002716"/>
    <n v="1.17945003509521"/>
    <n v="23"/>
    <n v="1.17987999916076"/>
    <n v="-6.2999725341783498E-4"/>
    <s v="DOWN"/>
    <n v="1.1725239992141701"/>
    <n v="6.7000389099014499E-5"/>
    <s v="UP"/>
    <n v="7.3559999465944098E-3"/>
    <x v="1"/>
    <x v="267"/>
    <n v="-1.2163736485180401"/>
    <s v="DOWN"/>
    <n v="1.1793999671936"/>
    <n v="1.1801999807357699"/>
    <n v="1.1803499460220299"/>
    <n v="1.1808999776840201"/>
    <x v="0"/>
    <n v="1"/>
    <n v="0"/>
    <n v="0"/>
  </r>
  <r>
    <d v="2025-08-25T00:00:00"/>
    <s v="00:00:00+00:00"/>
    <n v="1.17774999141693"/>
    <n v="1.17820000648498"/>
    <n v="1.1777000427246"/>
    <n v="1.17809998989105"/>
    <n v="58"/>
    <n v="1.1793299913406301"/>
    <n v="-5.5000782012948302E-4"/>
    <s v="DOWN"/>
    <n v="1.1725919985771101"/>
    <n v="6.7999362945547705E-5"/>
    <s v="UP"/>
    <n v="6.7379927635193796E-3"/>
    <x v="1"/>
    <x v="268"/>
    <n v="-5.3143662281205604"/>
    <s v="DOWN"/>
    <n v="1.17900002002716"/>
    <n v="1.1793999671936"/>
    <n v="1.17945003509521"/>
    <n v="1.1803499460220299"/>
    <x v="0"/>
    <n v="0"/>
    <n v="0"/>
    <n v="0"/>
  </r>
  <r>
    <d v="2025-08-25T00:00:00"/>
    <s v="01:00:00+00:00"/>
    <n v="1.1776000261306701"/>
    <n v="1.17840003967285"/>
    <n v="1.1775000095367401"/>
    <n v="1.17809998989105"/>
    <n v="44"/>
    <n v="1.1788399934768601"/>
    <n v="-4.8999786376957501E-4"/>
    <s v="DOWN"/>
    <n v="1.1726440000534"/>
    <n v="5.2001476287921699E-5"/>
    <s v="UP"/>
    <n v="6.1959934234618796E-3"/>
    <x v="1"/>
    <x v="269"/>
    <n v="-0.57806733818745903"/>
    <s v="DOWN"/>
    <n v="1.1777000427246"/>
    <n v="1.17900002002716"/>
    <n v="1.17820000648498"/>
    <n v="1.17945003509521"/>
    <x v="0"/>
    <n v="0"/>
    <n v="0"/>
    <n v="0"/>
  </r>
  <r>
    <d v="2025-08-25T00:00:00"/>
    <s v="02:00:00+00:00"/>
    <n v="1.17799997329711"/>
    <n v="1.17799997329711"/>
    <n v="1.17785000801086"/>
    <n v="1.17785000801086"/>
    <n v="21"/>
    <n v="1.1783699989318801"/>
    <n v="-4.6999454498286499E-4"/>
    <s v="DOWN"/>
    <n v="1.1727419996261499"/>
    <n v="9.7999572753915105E-5"/>
    <s v="UP"/>
    <n v="5.6279993057250996E-3"/>
    <x v="1"/>
    <x v="270"/>
    <n v="1.10873022885062"/>
    <s v="UP"/>
    <n v="1.1775000095367401"/>
    <n v="1.1777000427246"/>
    <n v="1.17840003967285"/>
    <n v="1.17820000648498"/>
    <x v="0"/>
    <n v="0"/>
    <n v="0"/>
    <n v="0"/>
  </r>
  <r>
    <d v="2025-08-25T00:00:00"/>
    <s v="03:00:00+00:00"/>
    <n v="1.1788500547409"/>
    <n v="1.1788500547409"/>
    <n v="1.17805004119873"/>
    <n v="1.17805004119873"/>
    <n v="55"/>
    <n v="1.1782600164413399"/>
    <n v="-1.0998249053950601E-4"/>
    <s v="DOWN"/>
    <n v="1.17283400058746"/>
    <n v="9.2000961303684197E-5"/>
    <s v="UP"/>
    <n v="5.4260158538819098E-3"/>
    <x v="1"/>
    <x v="271"/>
    <n v="2.3249944898105301"/>
    <s v="UP"/>
    <n v="1.17785000801086"/>
    <n v="1.1775000095367401"/>
    <n v="1.17799997329711"/>
    <n v="1.17840003967285"/>
    <x v="0"/>
    <n v="0"/>
    <n v="0"/>
    <n v="0"/>
  </r>
  <r>
    <d v="2025-08-25T00:00:00"/>
    <s v="04:00:00+00:00"/>
    <n v="1.17869997024536"/>
    <n v="1.1788500547409"/>
    <n v="1.1785500049591"/>
    <n v="1.1785500049591"/>
    <n v="3"/>
    <n v="1.17818000316619"/>
    <n v="-8.0013275146617602E-5"/>
    <s v="DOWN"/>
    <n v="1.17289499998092"/>
    <n v="6.0999393463267898E-5"/>
    <s v="UP"/>
    <n v="5.2850031852720303E-3"/>
    <x v="1"/>
    <x v="272"/>
    <n v="-0.68603967591524595"/>
    <s v="DOWN"/>
    <n v="1.17805004119873"/>
    <n v="1.17785000801086"/>
    <n v="1.1788500547409"/>
    <n v="1.17799997329711"/>
    <x v="0"/>
    <n v="0"/>
    <n v="0"/>
    <n v="0"/>
  </r>
  <r>
    <d v="2025-08-25T00:00:00"/>
    <s v="05:00:00+00:00"/>
    <n v="1.17789995670318"/>
    <n v="1.17834997177124"/>
    <n v="1.17789995670318"/>
    <n v="1.17834997177124"/>
    <n v="44"/>
    <n v="1.17820999622344"/>
    <n v="2.99930572511541E-5"/>
    <s v="UP"/>
    <n v="1.17297399997711"/>
    <n v="7.8999996185213903E-5"/>
    <s v="UP"/>
    <n v="5.2359962463379697E-3"/>
    <x v="1"/>
    <x v="273"/>
    <n v="-3.6640597160478801"/>
    <s v="DOWN"/>
    <n v="1.1785500049591"/>
    <n v="1.17805004119873"/>
    <n v="1.1788500547409"/>
    <n v="1.1788500547409"/>
    <x v="0"/>
    <n v="0"/>
    <n v="0"/>
    <n v="0"/>
  </r>
  <r>
    <d v="2025-08-25T00:00:00"/>
    <s v="06:00:00+00:00"/>
    <n v="1.1797000169753999"/>
    <n v="1.1800999641418399"/>
    <n v="1.17914998531341"/>
    <n v="1.17914998531341"/>
    <n v="44"/>
    <n v="1.1786299943923899"/>
    <n v="4.1999816894522298E-4"/>
    <s v="UP"/>
    <n v="1.17309400081634"/>
    <n v="1.20000839233469E-4"/>
    <s v="UP"/>
    <n v="5.5359935760497204E-3"/>
    <x v="1"/>
    <x v="274"/>
    <n v="5.2567725704713402"/>
    <s v="UP"/>
    <n v="1.17789995670318"/>
    <n v="1.1785500049591"/>
    <n v="1.17834997177124"/>
    <n v="1.1788500547409"/>
    <x v="1"/>
    <n v="0"/>
    <n v="0"/>
    <n v="0"/>
  </r>
  <r>
    <d v="2025-08-25T00:00:00"/>
    <s v="07:00:00+00:00"/>
    <n v="1.17795002460479"/>
    <n v="1.1798499822616499"/>
    <n v="1.1776000261306701"/>
    <n v="1.17949998378753"/>
    <n v="66"/>
    <n v="1.1786200046539299"/>
    <n v="-9.9897384644442798E-6"/>
    <s v="DOWN"/>
    <n v="1.17318400144577"/>
    <n v="9.0000629424880006E-5"/>
    <s v="UP"/>
    <n v="5.4360032081604004E-3"/>
    <x v="1"/>
    <x v="275"/>
    <n v="-7.3684573301798499"/>
    <s v="DOWN"/>
    <n v="1.17914998531341"/>
    <n v="1.17789995670318"/>
    <n v="1.1800999641418399"/>
    <n v="1.17834997177124"/>
    <x v="0"/>
    <n v="0"/>
    <n v="0"/>
    <n v="0"/>
  </r>
  <r>
    <d v="2025-08-25T00:00:00"/>
    <s v="08:00:00+00:00"/>
    <n v="1.17844998836517"/>
    <n v="1.17875003814697"/>
    <n v="1.17799997329711"/>
    <n v="1.17799997329711"/>
    <n v="22"/>
    <n v="1.17853999137878"/>
    <n v="-8.0013275146395503E-5"/>
    <s v="DOWN"/>
    <n v="1.1732850003242401"/>
    <n v="1.0099887847903E-4"/>
    <s v="UP"/>
    <n v="5.2549910545349699E-3"/>
    <x v="1"/>
    <x v="276"/>
    <n v="1.5177688319352201"/>
    <s v="UP"/>
    <n v="1.1776000261306701"/>
    <n v="1.17914998531341"/>
    <n v="1.1798499822616499"/>
    <n v="1.1800999641418399"/>
    <x v="0"/>
    <n v="0"/>
    <n v="0"/>
    <n v="0"/>
  </r>
  <r>
    <d v="2025-08-25T00:00:00"/>
    <s v="09:00:00+00:00"/>
    <n v="1.1772500276565501"/>
    <n v="1.1785500049591"/>
    <n v="1.1770999431610101"/>
    <n v="1.17834997177124"/>
    <n v="55"/>
    <n v="1.1782500028610201"/>
    <n v="-2.8998851776118601E-4"/>
    <s v="DOWN"/>
    <n v="1.1733820009231499"/>
    <n v="9.7000598907603903E-5"/>
    <s v="UP"/>
    <n v="4.86800193786618E-3"/>
    <x v="1"/>
    <x v="277"/>
    <n v="-4.7146870423051102"/>
    <s v="DOWN"/>
    <n v="1.17799997329711"/>
    <n v="1.1776000261306701"/>
    <n v="1.17875003814697"/>
    <n v="1.1798499822616499"/>
    <x v="0"/>
    <n v="0"/>
    <n v="0"/>
    <n v="0"/>
  </r>
  <r>
    <d v="2025-08-25T00:00:00"/>
    <s v="10:00:00+00:00"/>
    <n v="1.1768000125885001"/>
    <n v="1.1775000095367401"/>
    <n v="1.1766999959945601"/>
    <n v="1.1775000095367401"/>
    <n v="36"/>
    <n v="1.1780300140380799"/>
    <n v="-2.1998882293705599E-4"/>
    <s v="DOWN"/>
    <n v="1.1734710001945401"/>
    <n v="8.8999271392831107E-5"/>
    <s v="UP"/>
    <n v="4.5590138435362901E-3"/>
    <x v="1"/>
    <x v="278"/>
    <n v="-1.69216240535629"/>
    <s v="DOWN"/>
    <n v="1.1770999431610101"/>
    <n v="1.17799997329711"/>
    <n v="1.1785500049591"/>
    <n v="1.17875003814697"/>
    <x v="0"/>
    <n v="0"/>
    <n v="0"/>
    <n v="0"/>
  </r>
  <r>
    <d v="2025-08-25T00:00:00"/>
    <s v="11:00:00+00:00"/>
    <n v="1.17809998989105"/>
    <n v="1.1782499551773"/>
    <n v="1.1773500442504801"/>
    <n v="1.1773500442504801"/>
    <n v="39"/>
    <n v="1.17771000862121"/>
    <n v="-3.20005416870161E-4"/>
    <s v="DOWN"/>
    <n v="1.17358200073242"/>
    <n v="1.11000537872163E-4"/>
    <s v="UP"/>
    <n v="4.1280078887939702E-3"/>
    <x v="1"/>
    <x v="279"/>
    <n v="4.4263745656499198"/>
    <s v="UP"/>
    <n v="1.1766999959945601"/>
    <n v="1.1770999431610101"/>
    <n v="1.1775000095367401"/>
    <n v="1.1785500049591"/>
    <x v="0"/>
    <n v="0"/>
    <n v="0"/>
    <n v="0"/>
  </r>
  <r>
    <d v="2025-08-25T00:00:00"/>
    <s v="12:00:00+00:00"/>
    <n v="1.17799997329711"/>
    <n v="1.17830002307891"/>
    <n v="1.1775499582290601"/>
    <n v="1.17830002307891"/>
    <n v="116"/>
    <n v="1.17771999835968"/>
    <n v="9.9897384644442798E-6"/>
    <s v="UP"/>
    <n v="1.1737170004844599"/>
    <n v="1.3499975204478399E-4"/>
    <s v="UP"/>
    <n v="4.0029978752136302E-3"/>
    <x v="1"/>
    <x v="280"/>
    <n v="-0.41406936169858"/>
    <s v="DOWN"/>
    <n v="1.1773500442504801"/>
    <n v="1.1766999959945601"/>
    <n v="1.1782499551773"/>
    <n v="1.1775000095367401"/>
    <x v="0"/>
    <n v="0"/>
    <n v="0"/>
    <n v="0"/>
  </r>
  <r>
    <d v="2025-08-25T00:00:00"/>
    <s v="13:00:00+00:00"/>
    <n v="1.17799997329711"/>
    <n v="1.1788500547409"/>
    <n v="1.1776000261306701"/>
    <n v="1.17799997329711"/>
    <n v="467"/>
    <n v="1.1776299953460601"/>
    <n v="-9.0003013610839803E-5"/>
    <s v="DOWN"/>
    <n v="1.1737899994850101"/>
    <n v="7.2999000549245298E-5"/>
    <s v="UP"/>
    <n v="3.8399958610535398E-3"/>
    <x v="1"/>
    <x v="280"/>
    <n v="0"/>
    <s v="DOWN"/>
    <n v="1.1775499582290601"/>
    <n v="1.1773500442504801"/>
    <n v="1.17830002307891"/>
    <n v="1.1782499551773"/>
    <x v="0"/>
    <n v="0"/>
    <n v="0"/>
    <n v="0"/>
  </r>
  <r>
    <d v="2025-08-25T00:00:00"/>
    <s v="14:00:00+00:00"/>
    <n v="1.1770999431610101"/>
    <n v="1.17859995365142"/>
    <n v="1.1770999431610101"/>
    <n v="1.17795002460479"/>
    <n v="120"/>
    <n v="1.17759997844696"/>
    <n v="-3.0016899108975499E-5"/>
    <s v="DOWN"/>
    <n v="1.17385699748992"/>
    <n v="6.6998004913276706E-5"/>
    <s v="UP"/>
    <n v="3.7429809570312901E-3"/>
    <x v="1"/>
    <x v="281"/>
    <n v="-3.9797538853684098"/>
    <s v="DOWN"/>
    <n v="1.1776000261306701"/>
    <n v="1.1775499582290601"/>
    <n v="1.1788500547409"/>
    <n v="1.17830002307891"/>
    <x v="0"/>
    <n v="0"/>
    <n v="0"/>
    <n v="0"/>
  </r>
  <r>
    <d v="2025-08-25T00:00:00"/>
    <s v="15:00:00+00:00"/>
    <n v="1.1748000383377"/>
    <n v="1.1770999431610101"/>
    <n v="1.17470002174377"/>
    <n v="1.1770000457763601"/>
    <n v="290"/>
    <n v="1.1771999835967999"/>
    <n v="-3.99994850158735E-4"/>
    <s v="DOWN"/>
    <n v="1.1738719987869199"/>
    <n v="1.50012969970525E-5"/>
    <s v="UP"/>
    <n v="3.3279848098755E-3"/>
    <x v="1"/>
    <x v="282"/>
    <n v="-8.4783572363497797"/>
    <s v="DOWN"/>
    <n v="1.1770999431610101"/>
    <n v="1.1776000261306701"/>
    <n v="1.17859995365142"/>
    <n v="1.1788500547409"/>
    <x v="0"/>
    <n v="0"/>
    <n v="0"/>
    <n v="0"/>
  </r>
  <r>
    <d v="2025-08-25T00:00:00"/>
    <s v="16:00:00+00:00"/>
    <n v="1.17365002632141"/>
    <n v="1.17499995231628"/>
    <n v="1.17330002784729"/>
    <n v="1.17499995231628"/>
    <n v="531"/>
    <n v="1.17630999088287"/>
    <n v="-8.89992713928089E-4"/>
    <s v="DOWN"/>
    <n v="1.1738779997825599"/>
    <n v="6.0009956361905998E-6"/>
    <s v="UP"/>
    <n v="2.4319911003112199E-3"/>
    <x v="1"/>
    <x v="283"/>
    <n v="-3.4971898921129698"/>
    <s v="DOWN"/>
    <n v="1.17470002174377"/>
    <n v="1.1770999431610101"/>
    <n v="1.1770999431610101"/>
    <n v="1.17859995365142"/>
    <x v="0"/>
    <n v="0"/>
    <n v="0"/>
    <n v="0"/>
  </r>
  <r>
    <d v="2025-08-25T00:00:00"/>
    <s v="17:00:00+00:00"/>
    <n v="1.1726499795913601"/>
    <n v="1.17359995841979"/>
    <n v="1.1721999645233101"/>
    <n v="1.17355000972747"/>
    <n v="79"/>
    <n v="1.17523999214172"/>
    <n v="-1.0699987411499901E-3"/>
    <s v="DOWN"/>
    <n v="1.1738859987258901"/>
    <n v="7.9989433288130096E-6"/>
    <s v="UP"/>
    <n v="1.3539934158324201E-3"/>
    <x v="1"/>
    <x v="284"/>
    <n v="-2.7926478717798702"/>
    <s v="DOWN"/>
    <n v="1.17330002784729"/>
    <n v="1.17470002174377"/>
    <n v="1.17499995231628"/>
    <n v="1.1770999431610101"/>
    <x v="0"/>
    <n v="0"/>
    <n v="0"/>
    <n v="0"/>
  </r>
  <r>
    <d v="2025-08-25T00:00:00"/>
    <s v="18:00:00+00:00"/>
    <n v="1.17005002498626"/>
    <n v="1.1728500127792301"/>
    <n v="1.16999995708465"/>
    <n v="1.1728500127792301"/>
    <n v="192"/>
    <n v="1.17365000247955"/>
    <n v="-1.58998966217027E-3"/>
    <s v="DOWN"/>
    <n v="1.1738159990310599"/>
    <n v="-6.9999694824351895E-5"/>
    <s v="DOWN"/>
    <n v="-1.6599655151350301E-4"/>
    <x v="0"/>
    <x v="285"/>
    <n v="-6.0543823149319698"/>
    <s v="DOWN"/>
    <n v="1.1721999645233101"/>
    <n v="1.17330002784729"/>
    <n v="1.17359995841979"/>
    <n v="1.17499995231628"/>
    <x v="0"/>
    <n v="0"/>
    <n v="0"/>
    <n v="0"/>
  </r>
  <r>
    <d v="2025-08-25T00:00:00"/>
    <s v="19:00:00+00:00"/>
    <n v="1.16904997825622"/>
    <n v="1.17005002498626"/>
    <n v="1.1684000492095901"/>
    <n v="1.16995000839233"/>
    <n v="87"/>
    <n v="1.1720400094985901"/>
    <n v="-1.6099929809572E-3"/>
    <s v="DOWN"/>
    <n v="1.1737969994544899"/>
    <n v="-1.8999576568479099E-5"/>
    <s v="DOWN"/>
    <n v="-1.75698995590223E-3"/>
    <x v="0"/>
    <x v="286"/>
    <n v="-1.9561341975561499"/>
    <s v="DOWN"/>
    <n v="1.16999995708465"/>
    <n v="1.1721999645233101"/>
    <n v="1.1728500127792301"/>
    <n v="1.17359995841979"/>
    <x v="0"/>
    <n v="1"/>
    <n v="0"/>
    <n v="0"/>
  </r>
  <r>
    <d v="2025-08-25T00:00:00"/>
    <s v="20:00:00+00:00"/>
    <n v="1.17009997367858"/>
    <n v="1.17060005664825"/>
    <n v="1.16910004615783"/>
    <n v="1.16914999485015"/>
    <n v="46"/>
    <n v="1.1710999965667701"/>
    <n v="-9.4001293182355197E-4"/>
    <s v="DOWN"/>
    <n v="1.1738069987297"/>
    <n v="9.9992752073951795E-6"/>
    <s v="UP"/>
    <n v="-2.70700216293318E-3"/>
    <x v="0"/>
    <x v="287"/>
    <n v="4.8627724290926002"/>
    <s v="UP"/>
    <n v="1.1684000492095901"/>
    <n v="1.16999995708465"/>
    <n v="1.17005002498626"/>
    <n v="1.1728500127792301"/>
    <x v="0"/>
    <n v="0"/>
    <n v="0"/>
    <n v="0"/>
  </r>
  <r>
    <d v="2025-08-25T00:00:00"/>
    <s v="22:00:00+00:00"/>
    <n v="1.16989994049072"/>
    <n v="1.16989994049072"/>
    <n v="1.16989994049072"/>
    <n v="1.16989994049072"/>
    <n v="0"/>
    <n v="1.17034997940063"/>
    <n v="-7.5001716613787295E-4"/>
    <s v="DOWN"/>
    <n v="1.1738269972801201"/>
    <n v="1.99985504150124E-5"/>
    <s v="UP"/>
    <n v="-3.4770178794860601E-3"/>
    <x v="0"/>
    <x v="288"/>
    <n v="-0.457096915564775"/>
    <s v="DOWN"/>
    <n v="1.16910004615783"/>
    <n v="1.1684000492095901"/>
    <n v="1.17060005664825"/>
    <n v="1.17005002498626"/>
    <x v="0"/>
    <n v="0"/>
    <n v="0"/>
    <n v="0"/>
  </r>
  <r>
    <d v="2025-08-25T00:00:00"/>
    <s v="23:00:00+00:00"/>
    <n v="1.1695499420166"/>
    <n v="1.16980004310607"/>
    <n v="1.16925001144409"/>
    <n v="1.16980004310607"/>
    <n v="10"/>
    <n v="1.16972997188568"/>
    <n v="-6.2000751495361296E-4"/>
    <s v="DOWN"/>
    <n v="1.1738339972495999"/>
    <n v="6.9999694825018102E-6"/>
    <s v="UP"/>
    <n v="-4.1040253639221796E-3"/>
    <x v="0"/>
    <x v="289"/>
    <n v="-0.82802765586953297"/>
    <s v="DOWN"/>
    <n v="1.16989994049072"/>
    <n v="1.16910004615783"/>
    <n v="1.16989994049072"/>
    <n v="1.17060005664825"/>
    <x v="0"/>
    <n v="0"/>
    <n v="0"/>
    <n v="0"/>
  </r>
  <r>
    <d v="2025-08-26T00:00:00"/>
    <s v="00:00:00+00:00"/>
    <n v="1.17344999313354"/>
    <n v="1.17385005950927"/>
    <n v="1.1713500022888099"/>
    <n v="1.1716500520706099"/>
    <n v="177"/>
    <n v="1.1704099655151301"/>
    <n v="6.7999362945569898E-4"/>
    <s v="UP"/>
    <n v="1.17390699625015"/>
    <n v="7.2999000549245298E-5"/>
    <s v="UP"/>
    <n v="-3.4970307350157201E-3"/>
    <x v="0"/>
    <x v="290"/>
    <n v="15.813865009739301"/>
    <s v="UP"/>
    <n v="1.16925001144409"/>
    <n v="1.16989994049072"/>
    <n v="1.16980004310607"/>
    <n v="1.16989994049072"/>
    <x v="0"/>
    <n v="0"/>
    <n v="0"/>
    <n v="0"/>
  </r>
  <r>
    <d v="2025-08-26T00:00:00"/>
    <s v="01:00:00+00:00"/>
    <n v="1.1714500188827499"/>
    <n v="1.1728500127792301"/>
    <n v="1.1714500188827499"/>
    <n v="1.1727000474929801"/>
    <n v="37"/>
    <n v="1.1708899736404399"/>
    <n v="4.8000812530513099E-4"/>
    <s v="UP"/>
    <n v="1.17394999742507"/>
    <n v="4.3001174926837701E-5"/>
    <s v="UP"/>
    <n v="-3.0600237846374299E-3"/>
    <x v="0"/>
    <x v="291"/>
    <n v="-5.4376223358950204"/>
    <s v="DOWN"/>
    <n v="1.1713500022888099"/>
    <n v="1.16925001144409"/>
    <n v="1.17385005950927"/>
    <n v="1.16980004310607"/>
    <x v="0"/>
    <n v="0"/>
    <n v="0"/>
    <n v="0"/>
  </r>
  <r>
    <d v="2025-08-26T00:00:00"/>
    <s v="02:00:00+00:00"/>
    <n v="1.1717499494552599"/>
    <n v="1.1725000143051101"/>
    <n v="1.1714999675750699"/>
    <n v="1.1721500158309901"/>
    <n v="35"/>
    <n v="1.1712199687957701"/>
    <n v="3.2999515533438303E-4"/>
    <s v="UP"/>
    <n v="1.17400199651718"/>
    <n v="5.1999092101961902E-5"/>
    <s v="UP"/>
    <n v="-2.7820277214050098E-3"/>
    <x v="0"/>
    <x v="292"/>
    <n v="1.04018520364297"/>
    <s v="UP"/>
    <n v="1.1714500188827499"/>
    <n v="1.1713500022888099"/>
    <n v="1.1728500127792301"/>
    <n v="1.17385005950927"/>
    <x v="0"/>
    <n v="0"/>
    <n v="0"/>
    <n v="0"/>
  </r>
  <r>
    <d v="2025-08-26T00:00:00"/>
    <s v="03:00:00+00:00"/>
    <n v="1.1707999706268299"/>
    <n v="1.1711499691009499"/>
    <n v="1.17050004005432"/>
    <n v="1.1711499691009499"/>
    <n v="42"/>
    <n v="1.17139997482299"/>
    <n v="1.8000602722167901E-4"/>
    <s v="UP"/>
    <n v="1.17403699636459"/>
    <n v="3.4999847412286997E-5"/>
    <s v="UP"/>
    <n v="-2.6370215415956102E-3"/>
    <x v="0"/>
    <x v="293"/>
    <n v="-2.5159347792755402"/>
    <s v="DOWN"/>
    <n v="1.1714999675750699"/>
    <n v="1.1714500188827499"/>
    <n v="1.1725000143051101"/>
    <n v="1.1728500127792301"/>
    <x v="0"/>
    <n v="0"/>
    <n v="0"/>
    <n v="0"/>
  </r>
  <r>
    <d v="2025-08-26T00:00:00"/>
    <s v="04:00:00+00:00"/>
    <n v="1.1709500551223699"/>
    <n v="1.1709500551223699"/>
    <n v="1.1709500551223699"/>
    <n v="1.1709500551223699"/>
    <n v="1"/>
    <n v="1.1716799974441501"/>
    <n v="2.8002262115478499E-4"/>
    <s v="UP"/>
    <n v="1.1740689969062801"/>
    <n v="3.2000541686949499E-5"/>
    <s v="UP"/>
    <n v="-2.3889994621277802E-3"/>
    <x v="0"/>
    <x v="294"/>
    <n v="0.57752432882943305"/>
    <s v="UP"/>
    <n v="1.17050004005432"/>
    <n v="1.1714999675750699"/>
    <n v="1.1711499691009499"/>
    <n v="1.1725000143051101"/>
    <x v="0"/>
    <n v="0"/>
    <n v="0"/>
    <n v="0"/>
  </r>
  <r>
    <d v="2025-08-26T00:00:00"/>
    <s v="05:00:00+00:00"/>
    <n v="1.1720499992370601"/>
    <n v="1.1720499992370601"/>
    <n v="1.1713000535964899"/>
    <n v="1.1713000535964899"/>
    <n v="31"/>
    <n v="1.17139999866485"/>
    <n v="-2.7999877929674101E-4"/>
    <s v="DOWN"/>
    <n v="1.1741279959678601"/>
    <n v="5.89990615844637E-5"/>
    <s v="UP"/>
    <n v="-2.7279973030089801E-3"/>
    <x v="0"/>
    <x v="295"/>
    <n v="4.19055721036829"/>
    <s v="UP"/>
    <n v="1.1709500551223699"/>
    <n v="1.17050004005432"/>
    <n v="1.1709500551223699"/>
    <n v="1.1711499691009499"/>
    <x v="0"/>
    <n v="0"/>
    <n v="0"/>
    <n v="0"/>
  </r>
  <r>
    <d v="2025-08-26T00:00:00"/>
    <s v="06:00:00+00:00"/>
    <n v="1.17060005664825"/>
    <n v="1.1713500022888099"/>
    <n v="1.16980004310607"/>
    <n v="1.1713000535964899"/>
    <n v="30"/>
    <n v="1.1712300062179499"/>
    <n v="-1.6999244689941401E-4"/>
    <s v="DOWN"/>
    <n v="1.1741559982299801"/>
    <n v="2.8002262115522901E-5"/>
    <s v="UP"/>
    <n v="-2.9259920120239201E-3"/>
    <x v="0"/>
    <x v="296"/>
    <n v="-4.2103491407117097"/>
    <s v="DOWN"/>
    <n v="1.1713000535964899"/>
    <n v="1.1709500551223699"/>
    <n v="1.1720499992370601"/>
    <n v="1.1709500551223699"/>
    <x v="0"/>
    <n v="0"/>
    <n v="0"/>
    <n v="0"/>
  </r>
  <r>
    <d v="2025-08-26T00:00:00"/>
    <s v="07:00:00+00:00"/>
    <n v="1.16995000839233"/>
    <n v="1.1708500385284399"/>
    <n v="1.1684999465942301"/>
    <n v="1.16999995708465"/>
    <n v="31"/>
    <n v="1.1708700180053699"/>
    <n v="-3.5998821258553798E-4"/>
    <s v="DOWN"/>
    <n v="1.1742029976844699"/>
    <n v="4.6999454498264303E-5"/>
    <s v="UP"/>
    <n v="-3.3329796791077199E-3"/>
    <x v="0"/>
    <x v="297"/>
    <n v="-1.76663095378664"/>
    <s v="DOWN"/>
    <n v="1.16980004310607"/>
    <n v="1.1713000535964899"/>
    <n v="1.1713500022888099"/>
    <n v="1.1720499992370601"/>
    <x v="0"/>
    <n v="1"/>
    <n v="0"/>
    <n v="0"/>
  </r>
  <r>
    <d v="2025-08-26T00:00:00"/>
    <s v="08:00:00+00:00"/>
    <n v="1.1698499917984"/>
    <n v="1.17019999027252"/>
    <n v="1.16925001144409"/>
    <n v="1.17019999027252"/>
    <n v="38"/>
    <n v="1.17068002223968"/>
    <n v="-1.8999576568590101E-4"/>
    <s v="DOWN"/>
    <n v="1.17426399707794"/>
    <n v="6.09993934630459E-5"/>
    <s v="UP"/>
    <n v="-3.58397483825667E-3"/>
    <x v="0"/>
    <x v="298"/>
    <n v="-0.27827667447461801"/>
    <s v="DOWN"/>
    <n v="1.1684999465942301"/>
    <n v="1.16980004310607"/>
    <n v="1.1708500385284399"/>
    <n v="1.1713500022888099"/>
    <x v="0"/>
    <n v="0"/>
    <n v="0"/>
    <n v="0"/>
  </r>
  <r>
    <d v="2025-08-26T00:00:00"/>
    <s v="09:00:00+00:00"/>
    <n v="1.1722999811172401"/>
    <n v="1.1722999811172401"/>
    <n v="1.1711000204086299"/>
    <n v="1.1711000204086299"/>
    <n v="9"/>
    <n v="1.1709500074386501"/>
    <n v="2.6998519897447599E-4"/>
    <s v="UP"/>
    <n v="1.1743759965896601"/>
    <n v="1.1199951171891799E-4"/>
    <s v="UP"/>
    <n v="-3.42598915100111E-3"/>
    <x v="0"/>
    <x v="299"/>
    <n v="9.4647260672915792"/>
    <s v="UP"/>
    <n v="1.16925001144409"/>
    <n v="1.1684999465942301"/>
    <n v="1.17019999027252"/>
    <n v="1.1708500385284399"/>
    <x v="0"/>
    <n v="0"/>
    <n v="0"/>
    <n v="0"/>
  </r>
  <r>
    <d v="2025-08-26T00:00:00"/>
    <s v="10:00:00+00:00"/>
    <n v="1.1723500490188501"/>
    <n v="1.1726000308990401"/>
    <n v="1.1720000505447301"/>
    <n v="1.1726000308990401"/>
    <n v="37"/>
    <n v="1.17101001739501"/>
    <n v="6.0009956359907602E-5"/>
    <s v="UP"/>
    <n v="1.1744789981842001"/>
    <n v="1.0300159454335E-4"/>
    <s v="UP"/>
    <n v="-3.4689807891845601E-3"/>
    <x v="0"/>
    <x v="300"/>
    <n v="0.17516955650732"/>
    <s v="UP"/>
    <n v="1.1711000204086299"/>
    <n v="1.16925001144409"/>
    <n v="1.1722999811172401"/>
    <n v="1.17019999027252"/>
    <x v="0"/>
    <n v="0"/>
    <n v="0"/>
    <n v="0"/>
  </r>
  <r>
    <d v="2025-08-26T00:00:00"/>
    <s v="11:00:00+00:00"/>
    <n v="1.17359995841979"/>
    <n v="1.17400002479553"/>
    <n v="1.1722500324249201"/>
    <n v="1.1727000474929801"/>
    <n v="344"/>
    <n v="1.17160999774932"/>
    <n v="5.9998035430908203E-4"/>
    <s v="UP"/>
    <n v="1.17459899663925"/>
    <n v="1.19998455047509E-4"/>
    <s v="UP"/>
    <n v="-2.98899888992298E-3"/>
    <x v="0"/>
    <x v="301"/>
    <n v="4.2975251465209201"/>
    <s v="UP"/>
    <n v="1.1720000505447301"/>
    <n v="1.1711000204086299"/>
    <n v="1.1726000308990401"/>
    <n v="1.1722999811172401"/>
    <x v="0"/>
    <n v="0"/>
    <n v="0"/>
    <n v="0"/>
  </r>
  <r>
    <d v="2025-08-26T00:00:00"/>
    <s v="12:00:00+00:00"/>
    <n v="1.1727499961853001"/>
    <n v="1.17400002479553"/>
    <n v="1.1726000308990401"/>
    <n v="1.17344999313354"/>
    <n v="186"/>
    <n v="1.1721699953079201"/>
    <n v="5.5999755859370505E-4"/>
    <s v="UP"/>
    <n v="1.1746929955482399"/>
    <n v="9.3998908996750704E-5"/>
    <s v="UP"/>
    <n v="-2.52300024032603E-3"/>
    <x v="0"/>
    <x v="302"/>
    <n v="-3.1013092762980099"/>
    <s v="DOWN"/>
    <n v="1.1722500324249201"/>
    <n v="1.1720000505447301"/>
    <n v="1.17400002479553"/>
    <n v="1.1726000308990401"/>
    <x v="0"/>
    <n v="0"/>
    <n v="0"/>
    <n v="0"/>
  </r>
  <r>
    <d v="2025-08-26T00:00:00"/>
    <s v="13:00:00+00:00"/>
    <n v="1.1732499599456701"/>
    <n v="1.17334997653961"/>
    <n v="1.1720000505447301"/>
    <n v="1.1724499464035001"/>
    <n v="347"/>
    <n v="1.17284998893737"/>
    <n v="6.7999362945569898E-4"/>
    <s v="UP"/>
    <n v="1.1748019957542399"/>
    <n v="1.09000205993581E-4"/>
    <s v="UP"/>
    <n v="-1.9520068168639099E-3"/>
    <x v="0"/>
    <x v="303"/>
    <n v="1.7684848962702"/>
    <s v="UP"/>
    <n v="1.1726000308990401"/>
    <n v="1.1722500324249201"/>
    <n v="1.17400002479553"/>
    <n v="1.17400002479553"/>
    <x v="0"/>
    <n v="0"/>
    <n v="0"/>
    <n v="0"/>
  </r>
  <r>
    <d v="2025-08-26T00:00:00"/>
    <s v="14:00:00+00:00"/>
    <n v="1.17344999313354"/>
    <n v="1.17429995536804"/>
    <n v="1.1723999977111801"/>
    <n v="1.1729999780654901"/>
    <n v="384"/>
    <n v="1.17307999134063"/>
    <n v="2.30002403259099E-4"/>
    <s v="UP"/>
    <n v="1.1749159955978301"/>
    <n v="1.1399984359750001E-4"/>
    <s v="UP"/>
    <n v="-1.83600425720231E-3"/>
    <x v="0"/>
    <x v="304"/>
    <n v="0.72383518418349901"/>
    <s v="UP"/>
    <n v="1.1720000505447301"/>
    <n v="1.1726000308990401"/>
    <n v="1.17334997653961"/>
    <n v="1.17400002479553"/>
    <x v="0"/>
    <n v="0"/>
    <n v="0"/>
    <n v="0"/>
  </r>
  <r>
    <d v="2025-08-26T00:00:00"/>
    <s v="15:00:00+00:00"/>
    <n v="1.17349994182586"/>
    <n v="1.17435002326965"/>
    <n v="1.1729500293731601"/>
    <n v="1.17340004444122"/>
    <n v="272"/>
    <n v="1.17330996990203"/>
    <n v="2.2997856140150001E-4"/>
    <s v="UP"/>
    <n v="1.1750119948387101"/>
    <n v="9.59992408751109E-5"/>
    <s v="UP"/>
    <n v="-1.7020249366759201E-3"/>
    <x v="0"/>
    <x v="305"/>
    <n v="0.19093729033360701"/>
    <s v="UP"/>
    <n v="1.1723999977111801"/>
    <n v="1.1720000505447301"/>
    <n v="1.17429995536804"/>
    <n v="1.17334997653961"/>
    <x v="1"/>
    <n v="0"/>
    <n v="0"/>
    <n v="0"/>
  </r>
  <r>
    <d v="2025-08-26T00:00:00"/>
    <s v="16:00:00+00:00"/>
    <n v="1.17330002784729"/>
    <n v="1.17400002479553"/>
    <n v="1.1732000112533501"/>
    <n v="1.17359995841979"/>
    <n v="0"/>
    <n v="1.1732499837875301"/>
    <n v="-5.9986114502086298E-5"/>
    <s v="DOWN"/>
    <n v="1.17509499549865"/>
    <n v="8.3000659942600294E-5"/>
    <s v="UP"/>
    <n v="-1.84501171112061E-3"/>
    <x v="0"/>
    <x v="306"/>
    <n v="-0.90520656551009104"/>
    <s v="DOWN"/>
    <n v="1.1729500293731601"/>
    <n v="1.1723999977111801"/>
    <n v="1.17435002326965"/>
    <n v="1.17429995536804"/>
    <x v="0"/>
    <n v="0"/>
    <n v="0"/>
    <n v="0"/>
  </r>
  <r>
    <d v="2025-08-26T00:00:00"/>
    <s v="17:00:00+00:00"/>
    <n v="1.1719499826431199"/>
    <n v="1.1730500459671001"/>
    <n v="1.1719499826431199"/>
    <n v="1.1728999614715501"/>
    <n v="2266"/>
    <n v="1.1730899810791"/>
    <n v="-1.6000270843496899E-4"/>
    <s v="DOWN"/>
    <n v="1.17517199516296"/>
    <n v="7.6999664306631703E-5"/>
    <s v="UP"/>
    <n v="-2.0820140838622098E-3"/>
    <x v="0"/>
    <x v="307"/>
    <n v="-5.7545752789245297"/>
    <s v="DOWN"/>
    <n v="1.1732000112533501"/>
    <n v="1.1729500293731601"/>
    <n v="1.17400002479553"/>
    <n v="1.17435002326965"/>
    <x v="0"/>
    <n v="0"/>
    <n v="0"/>
    <n v="0"/>
  </r>
  <r>
    <d v="2025-08-26T00:00:00"/>
    <s v="18:00:00+00:00"/>
    <n v="1.1722999811172401"/>
    <n v="1.1726499795913601"/>
    <n v="1.1714999675750699"/>
    <n v="1.1718499660491899"/>
    <n v="300"/>
    <n v="1.1728999853134101"/>
    <n v="-1.89995765686123E-4"/>
    <s v="DOWN"/>
    <n v="1.1750189948081899"/>
    <n v="-1.5300035476673E-4"/>
    <s v="DOWN"/>
    <n v="-2.1190094947816001E-3"/>
    <x v="0"/>
    <x v="308"/>
    <n v="1.6107900378845501"/>
    <s v="UP"/>
    <n v="1.1719499826431199"/>
    <n v="1.1732000112533501"/>
    <n v="1.1730500459671001"/>
    <n v="1.17400002479553"/>
    <x v="0"/>
    <n v="0"/>
    <n v="0"/>
    <n v="0"/>
  </r>
  <r>
    <d v="2025-08-26T00:00:00"/>
    <s v="19:00:00+00:00"/>
    <n v="1.1720999479293801"/>
    <n v="1.1727999448776201"/>
    <n v="1.1720999479293801"/>
    <n v="1.1723500490188501"/>
    <n v="24"/>
    <n v="1.17262997627258"/>
    <n v="-2.7000904083251899E-4"/>
    <s v="DOWN"/>
    <n v="1.17487099409103"/>
    <n v="-1.48000717163032E-4"/>
    <s v="DOWN"/>
    <n v="-2.24101781845109E-3"/>
    <x v="0"/>
    <x v="309"/>
    <n v="-0.86680827121124004"/>
    <s v="DOWN"/>
    <n v="1.1714999675750699"/>
    <n v="1.1719499826431199"/>
    <n v="1.1726499795913601"/>
    <n v="1.1730500459671001"/>
    <x v="0"/>
    <n v="0"/>
    <n v="0"/>
    <n v="0"/>
  </r>
  <r>
    <d v="2025-08-26T00:00:00"/>
    <s v="20:00:00+00:00"/>
    <n v="1.1722999811172401"/>
    <n v="1.1722999811172401"/>
    <n v="1.1714999675750699"/>
    <n v="1.1716500520706099"/>
    <n v="37"/>
    <n v="1.17238998413085"/>
    <n v="-2.3999214172354399E-4"/>
    <s v="DOWN"/>
    <n v="1.1747109937667799"/>
    <n v="-1.6000032424945399E-4"/>
    <s v="DOWN"/>
    <n v="-2.3210096359251799E-3"/>
    <x v="0"/>
    <x v="310"/>
    <n v="1.0140614742559799"/>
    <s v="UP"/>
    <n v="1.1720999479293801"/>
    <n v="1.1714999675750699"/>
    <n v="1.1727999448776201"/>
    <n v="1.1726499795913601"/>
    <x v="0"/>
    <n v="0"/>
    <n v="0"/>
    <n v="0"/>
  </r>
  <r>
    <d v="2025-08-26T00:00:00"/>
    <s v="22:00:00+00:00"/>
    <n v="1.1722999811172401"/>
    <n v="1.1723999977111801"/>
    <n v="1.1722999811172401"/>
    <n v="1.1723999977111801"/>
    <n v="0"/>
    <n v="1.1721899747848501"/>
    <n v="-2.00009346008389E-4"/>
    <s v="DOWN"/>
    <n v="1.1745119929313601"/>
    <n v="-1.99000835418683E-4"/>
    <s v="DOWN"/>
    <n v="-2.32201814651489E-3"/>
    <x v="0"/>
    <x v="310"/>
    <n v="0"/>
    <s v="DOWN"/>
    <n v="1.1714999675750699"/>
    <n v="1.1720999479293801"/>
    <n v="1.1722999811172401"/>
    <n v="1.1727999448776201"/>
    <x v="0"/>
    <n v="0"/>
    <n v="0"/>
    <n v="0"/>
  </r>
  <r>
    <d v="2025-08-26T00:00:00"/>
    <s v="23:00:00+00:00"/>
    <n v="1.1718499660491899"/>
    <n v="1.1720999479293801"/>
    <n v="1.1718499660491899"/>
    <n v="1.1720999479293801"/>
    <n v="30"/>
    <n v="1.1721699714660601"/>
    <n v="-2.0003318786487799E-5"/>
    <s v="DOWN"/>
    <n v="1.17433899164199"/>
    <n v="-1.7300128936748E-4"/>
    <s v="DOWN"/>
    <n v="-2.1690201759339001E-3"/>
    <x v="0"/>
    <x v="311"/>
    <n v="-2.2824063838826998"/>
    <s v="DOWN"/>
    <n v="1.1722999811172401"/>
    <n v="1.1714999675750699"/>
    <n v="1.1723999977111801"/>
    <n v="1.1722999811172401"/>
    <x v="0"/>
    <n v="0"/>
    <n v="0"/>
    <n v="0"/>
  </r>
  <r>
    <d v="2025-08-27T00:00:00"/>
    <s v="00:00:00+00:00"/>
    <n v="1.1714999675750699"/>
    <n v="1.1715500354766799"/>
    <n v="1.1714999675750699"/>
    <n v="1.1715500354766799"/>
    <n v="6"/>
    <n v="1.17200996875762"/>
    <n v="-1.6000270843519101E-4"/>
    <s v="DOWN"/>
    <n v="1.1741679906845"/>
    <n v="-1.7100095748912001E-4"/>
    <s v="DOWN"/>
    <n v="-2.1580219268799699E-3"/>
    <x v="0"/>
    <x v="312"/>
    <n v="-1.7510730936402401"/>
    <s v="DOWN"/>
    <n v="1.1718499660491899"/>
    <n v="1.1722999811172401"/>
    <n v="1.1720999479293801"/>
    <n v="1.1723999977111801"/>
    <x v="0"/>
    <n v="0"/>
    <n v="0"/>
    <n v="0"/>
  </r>
  <r>
    <d v="2025-08-27T00:00:00"/>
    <s v="01:00:00+00:00"/>
    <n v="1.1714999675750699"/>
    <n v="1.1720000505447301"/>
    <n v="1.1713999509811399"/>
    <n v="1.1719499826431199"/>
    <n v="8"/>
    <n v="1.17188997268676"/>
    <n v="-1.19996070861772E-4"/>
    <s v="DOWN"/>
    <n v="1.1739909911155699"/>
    <n v="-1.7699956893912899E-4"/>
    <s v="DOWN"/>
    <n v="-2.1010184288026098E-3"/>
    <x v="0"/>
    <x v="312"/>
    <n v="0"/>
    <s v="DOWN"/>
    <n v="1.1714999675750699"/>
    <n v="1.1718499660491899"/>
    <n v="1.1715500354766799"/>
    <n v="1.1720999479293801"/>
    <x v="1"/>
    <n v="0"/>
    <n v="0"/>
    <n v="0"/>
  </r>
  <r>
    <d v="2025-08-27T00:00:00"/>
    <s v="02:00:00+00:00"/>
    <n v="1.1710000038146899"/>
    <n v="1.1710000038146899"/>
    <n v="1.17044997215271"/>
    <n v="1.1709500551223699"/>
    <n v="21"/>
    <n v="1.17162997722625"/>
    <n v="-2.5999546051025298E-4"/>
    <s v="DOWN"/>
    <n v="1.1738229918479901"/>
    <n v="-1.67999267578267E-4"/>
    <s v="DOWN"/>
    <n v="-2.1930146217346001E-3"/>
    <x v="0"/>
    <x v="313"/>
    <n v="-2.6234537429069098"/>
    <s v="DOWN"/>
    <n v="1.1713999509811399"/>
    <n v="1.1714999675750699"/>
    <n v="1.1720000505447301"/>
    <n v="1.1715500354766799"/>
    <x v="0"/>
    <n v="0"/>
    <n v="0"/>
    <n v="0"/>
  </r>
  <r>
    <d v="2025-08-27T00:00:00"/>
    <s v="03:00:00+00:00"/>
    <n v="1.1707999706268299"/>
    <n v="1.1711499691009499"/>
    <n v="1.17050004005432"/>
    <n v="1.1711499691009499"/>
    <n v="14"/>
    <n v="1.1713299751281701"/>
    <n v="-3.0000209808345098E-4"/>
    <s v="DOWN"/>
    <n v="1.1736569905281"/>
    <n v="-1.6600131988519999E-4"/>
    <s v="DOWN"/>
    <n v="-2.3270153999328498E-3"/>
    <x v="0"/>
    <x v="314"/>
    <n v="-1.03629811865077"/>
    <s v="DOWN"/>
    <n v="1.17044997215271"/>
    <n v="1.1713999509811399"/>
    <n v="1.1710000038146899"/>
    <n v="1.1720000505447301"/>
    <x v="0"/>
    <n v="0"/>
    <n v="0"/>
    <n v="0"/>
  </r>
  <r>
    <d v="2025-08-27T00:00:00"/>
    <s v="04:00:00+00:00"/>
    <n v="1.16919994354248"/>
    <n v="1.16970002651214"/>
    <n v="1.16919994354248"/>
    <n v="1.16949999332427"/>
    <n v="13"/>
    <n v="1.1707999706268299"/>
    <n v="-5.30004501342773E-4"/>
    <s v="DOWN"/>
    <n v="1.17348598957061"/>
    <n v="-1.7100095748889799E-4"/>
    <s v="DOWN"/>
    <n v="-2.6860189437867199E-3"/>
    <x v="0"/>
    <x v="315"/>
    <n v="-7.1578445550338001"/>
    <s v="DOWN"/>
    <n v="1.17050004005432"/>
    <n v="1.17044997215271"/>
    <n v="1.1711499691009499"/>
    <n v="1.1710000038146899"/>
    <x v="0"/>
    <n v="0"/>
    <n v="0"/>
    <n v="0"/>
  </r>
  <r>
    <d v="2025-08-27T00:00:00"/>
    <s v="05:00:00+00:00"/>
    <n v="1.16974997520446"/>
    <n v="1.16974997520446"/>
    <n v="1.16970002651214"/>
    <n v="1.16970002651214"/>
    <n v="2"/>
    <n v="1.17044997215271"/>
    <n v="-3.4999847412109299E-4"/>
    <s v="DOWN"/>
    <n v="1.1733289885520899"/>
    <n v="-1.57001018524338E-4"/>
    <s v="DOWN"/>
    <n v="-2.8790163993834801E-3"/>
    <x v="0"/>
    <x v="316"/>
    <n v="4.1226068433399199"/>
    <s v="UP"/>
    <n v="1.16919994354248"/>
    <n v="1.17050004005432"/>
    <n v="1.16970002651214"/>
    <n v="1.1711499691009499"/>
    <x v="0"/>
    <n v="0"/>
    <n v="0"/>
    <n v="0"/>
  </r>
  <r>
    <d v="2025-08-27T00:00:00"/>
    <s v="06:00:00+00:00"/>
    <n v="1.16970002651214"/>
    <n v="1.1701500415802"/>
    <n v="1.16939997673034"/>
    <n v="1.16999995708465"/>
    <n v="28"/>
    <n v="1.17008998394012"/>
    <n v="-3.5998821258553798E-4"/>
    <s v="DOWN"/>
    <n v="1.17316298961639"/>
    <n v="-1.65998935699462E-4"/>
    <s v="DOWN"/>
    <n v="-3.0730056762695501E-3"/>
    <x v="0"/>
    <x v="317"/>
    <n v="-0.223509466224875"/>
    <s v="DOWN"/>
    <n v="1.16970002651214"/>
    <n v="1.16919994354248"/>
    <n v="1.16974997520446"/>
    <n v="1.16970002651214"/>
    <x v="0"/>
    <n v="0"/>
    <n v="0"/>
    <n v="0"/>
  </r>
  <r>
    <d v="2025-08-27T00:00:00"/>
    <s v="07:00:00+00:00"/>
    <n v="1.1682499647140501"/>
    <n v="1.16945004463195"/>
    <n v="1.1676000356674101"/>
    <n v="1.16945004463195"/>
    <n v="81"/>
    <n v="1.1695399761199901"/>
    <n v="-5.5000782012926098E-4"/>
    <s v="DOWN"/>
    <n v="1.1729509878158499"/>
    <n v="-2.12001800537153E-4"/>
    <s v="DOWN"/>
    <n v="-3.4110116958616602E-3"/>
    <x v="0"/>
    <x v="318"/>
    <n v="-5.8494913242116402"/>
    <s v="DOWN"/>
    <n v="1.16939997673034"/>
    <n v="1.16970002651214"/>
    <n v="1.1701500415802"/>
    <n v="1.16974997520446"/>
    <x v="0"/>
    <n v="0"/>
    <n v="0"/>
    <n v="0"/>
  </r>
  <r>
    <d v="2025-08-27T00:00:00"/>
    <s v="08:00:00+00:00"/>
    <n v="1.1665999889373699"/>
    <n v="1.1682000160217201"/>
    <n v="1.16565001010894"/>
    <n v="1.1682000160217201"/>
    <n v="162"/>
    <n v="1.1686999797821001"/>
    <n v="-8.3999633789066898E-4"/>
    <s v="DOWN"/>
    <n v="1.1727089881896899"/>
    <n v="-2.4199962615956101E-4"/>
    <s v="DOWN"/>
    <n v="-4.00900840759277E-3"/>
    <x v="0"/>
    <x v="319"/>
    <n v="-5.0580356106237998"/>
    <s v="DOWN"/>
    <n v="1.1676000356674101"/>
    <n v="1.16939997673034"/>
    <n v="1.16945004463195"/>
    <n v="1.1701500415802"/>
    <x v="0"/>
    <n v="0"/>
    <n v="0"/>
    <n v="0"/>
  </r>
  <r>
    <d v="2025-08-27T00:00:00"/>
    <s v="09:00:00+00:00"/>
    <n v="1.1670000553131099"/>
    <n v="1.1672999858856199"/>
    <n v="1.1665500402450499"/>
    <n v="1.1667000055313099"/>
    <n v="173"/>
    <n v="1.1682600021362299"/>
    <n v="-4.3997764587411198E-4"/>
    <s v="DOWN"/>
    <n v="1.1724909901618901"/>
    <n v="-2.1799802780142399E-4"/>
    <s v="DOWN"/>
    <n v="-4.23098802566546E-3"/>
    <x v="0"/>
    <x v="320"/>
    <n v="2.9986935328403899"/>
    <s v="UP"/>
    <n v="1.16565001010894"/>
    <n v="1.1676000356674101"/>
    <n v="1.1682000160217201"/>
    <n v="1.16945004463195"/>
    <x v="0"/>
    <n v="0"/>
    <n v="0"/>
    <n v="0"/>
  </r>
  <r>
    <d v="2025-08-27T00:00:00"/>
    <s v="10:00:00+00:00"/>
    <n v="1.16600000858306"/>
    <n v="1.1668000221252399"/>
    <n v="1.16600000858306"/>
    <n v="1.1668000221252399"/>
    <n v="82"/>
    <n v="1.1675100088119501"/>
    <n v="-7.4999332427960698E-4"/>
    <s v="DOWN"/>
    <n v="1.17221698999404"/>
    <n v="-2.7400016784673298E-4"/>
    <s v="DOWN"/>
    <n v="-4.7069811820983302E-3"/>
    <x v="0"/>
    <x v="321"/>
    <n v="-2.8720458813560299"/>
    <s v="DOWN"/>
    <n v="1.1665500402450499"/>
    <n v="1.16565001010894"/>
    <n v="1.1672999858856199"/>
    <n v="1.1682000160217201"/>
    <x v="0"/>
    <n v="0"/>
    <n v="0"/>
    <n v="0"/>
  </r>
  <r>
    <d v="2025-08-27T00:00:00"/>
    <s v="11:00:00+00:00"/>
    <n v="1.1664500236511199"/>
    <n v="1.1668000221252399"/>
    <n v="1.16550004482269"/>
    <n v="1.16585004329681"/>
    <n v="143"/>
    <n v="1.16686000823974"/>
    <n v="-6.5000057220476705E-4"/>
    <s v="DOWN"/>
    <n v="1.17198698997497"/>
    <n v="-2.30000019073584E-4"/>
    <s v="DOWN"/>
    <n v="-5.1269817352295102E-3"/>
    <x v="0"/>
    <x v="322"/>
    <n v="3.3600154166188498"/>
    <s v="UP"/>
    <n v="1.16600000858306"/>
    <n v="1.1665500402450499"/>
    <n v="1.1668000221252399"/>
    <n v="1.1672999858856199"/>
    <x v="0"/>
    <n v="1"/>
    <n v="0"/>
    <n v="0"/>
  </r>
  <r>
    <d v="2025-08-27T00:00:00"/>
    <s v="12:00:00+00:00"/>
    <n v="1.1664500236511199"/>
    <n v="1.1675499677657999"/>
    <n v="1.1663999557495099"/>
    <n v="1.1665500402450499"/>
    <n v="465"/>
    <n v="1.16650002002716"/>
    <n v="-3.5998821258531599E-4"/>
    <s v="DOWN"/>
    <n v="1.1717469906806901"/>
    <n v="-2.39999294280979E-4"/>
    <s v="DOWN"/>
    <n v="-5.2469706535338504E-3"/>
    <x v="0"/>
    <x v="322"/>
    <n v="0"/>
    <s v="DOWN"/>
    <n v="1.16550004482269"/>
    <n v="1.16600000858306"/>
    <n v="1.1668000221252399"/>
    <n v="1.1668000221252399"/>
    <x v="0"/>
    <n v="0"/>
    <n v="0"/>
    <n v="0"/>
  </r>
  <r>
    <d v="2025-08-27T00:00:00"/>
    <s v="13:00:00+00:00"/>
    <n v="1.1677500009536701"/>
    <n v="1.1680999994277901"/>
    <n v="1.1664500236511199"/>
    <n v="1.1667000055313099"/>
    <n v="238"/>
    <n v="1.16673002243042"/>
    <n v="2.3000240325932099E-4"/>
    <s v="UP"/>
    <n v="1.1715569901466301"/>
    <n v="-1.9000053405759899E-4"/>
    <s v="DOWN"/>
    <n v="-4.8269677162169301E-3"/>
    <x v="0"/>
    <x v="323"/>
    <n v="9.3207156200410601"/>
    <s v="UP"/>
    <n v="1.1663999557495099"/>
    <n v="1.16550004482269"/>
    <n v="1.1675499677657999"/>
    <n v="1.1668000221252399"/>
    <x v="0"/>
    <n v="0"/>
    <n v="0"/>
    <n v="0"/>
  </r>
  <r>
    <d v="2025-08-27T00:00:00"/>
    <s v="14:00:00+00:00"/>
    <n v="1.1670500040054299"/>
    <n v="1.1676499843597401"/>
    <n v="1.16614997386932"/>
    <n v="1.1676000356674101"/>
    <n v="482"/>
    <n v="1.16674001216888"/>
    <n v="9.9897384642222403E-6"/>
    <s v="UP"/>
    <n v="1.1713619899749701"/>
    <n v="-1.9500017166129699E-4"/>
    <s v="DOWN"/>
    <n v="-4.62197780609141E-3"/>
    <x v="0"/>
    <x v="324"/>
    <n v="-2.7788906697214899"/>
    <s v="DOWN"/>
    <n v="1.1664500236511199"/>
    <n v="1.1663999557495099"/>
    <n v="1.1680999994277901"/>
    <n v="1.1675499677657999"/>
    <x v="0"/>
    <n v="0"/>
    <n v="0"/>
    <n v="0"/>
  </r>
  <r>
    <d v="2025-08-27T00:00:00"/>
    <s v="15:00:00+00:00"/>
    <n v="1.16894996166229"/>
    <n v="1.16904997825622"/>
    <n v="1.1670999526977499"/>
    <n v="1.1670999526977499"/>
    <n v="280"/>
    <n v="1.16733000278472"/>
    <n v="5.8999061584485903E-4"/>
    <s v="UP"/>
    <n v="1.1711789894104001"/>
    <n v="-1.8300056457531901E-4"/>
    <s v="DOWN"/>
    <n v="-3.8489866256712301E-3"/>
    <x v="0"/>
    <x v="325"/>
    <n v="11.0117640038529"/>
    <s v="UP"/>
    <n v="1.16614997386932"/>
    <n v="1.1664500236511199"/>
    <n v="1.1676499843597401"/>
    <n v="1.1680999994277901"/>
    <x v="0"/>
    <n v="0"/>
    <n v="0"/>
    <n v="0"/>
  </r>
  <r>
    <d v="2025-08-27T00:00:00"/>
    <s v="16:00:00+00:00"/>
    <n v="1.1717000007629299"/>
    <n v="1.1717000007629299"/>
    <n v="1.1690000295639"/>
    <n v="1.1690000295639"/>
    <n v="110"/>
    <n v="1.1683799982070899"/>
    <n v="1.0499954223632799E-3"/>
    <s v="UP"/>
    <n v="1.17105298995971"/>
    <n v="-1.2599945068347799E-4"/>
    <s v="DOWN"/>
    <n v="-2.6729917526244701E-3"/>
    <x v="0"/>
    <x v="326"/>
    <n v="11.1929275908678"/>
    <s v="UP"/>
    <n v="1.1670999526977499"/>
    <n v="1.16614997386932"/>
    <n v="1.16904997825622"/>
    <n v="1.1676499843597401"/>
    <x v="0"/>
    <n v="0"/>
    <n v="0"/>
    <n v="0"/>
  </r>
  <r>
    <d v="2025-08-27T00:00:00"/>
    <s v="17:00:00+00:00"/>
    <n v="1.1717000007629299"/>
    <n v="1.1720000505447301"/>
    <n v="1.1712000370025599"/>
    <n v="1.1717000007629299"/>
    <n v="75"/>
    <n v="1.1694299936294501"/>
    <n v="1.0499954223632799E-3"/>
    <s v="UP"/>
    <n v="1.17092699050903"/>
    <n v="-1.2599945068370001E-4"/>
    <s v="DOWN"/>
    <n v="-1.4969968795774901E-3"/>
    <x v="0"/>
    <x v="326"/>
    <n v="0"/>
    <s v="DOWN"/>
    <n v="1.1690000295639"/>
    <n v="1.1670999526977499"/>
    <n v="1.1717000007629299"/>
    <n v="1.16904997825622"/>
    <x v="1"/>
    <n v="0"/>
    <n v="0"/>
    <n v="0"/>
  </r>
  <r>
    <d v="2025-08-27T00:00:00"/>
    <s v="18:00:00+00:00"/>
    <n v="1.1709500551223699"/>
    <n v="1.1715500354766799"/>
    <n v="1.17065000534057"/>
    <n v="1.1715500354766799"/>
    <n v="116"/>
    <n v="1.17007000446319"/>
    <n v="6.4001083374010104E-4"/>
    <s v="UP"/>
    <n v="1.1708039927482601"/>
    <n v="-1.2299776077262501E-4"/>
    <s v="DOWN"/>
    <n v="-7.3398828506476799E-4"/>
    <x v="0"/>
    <x v="327"/>
    <n v="-3.6675608713380399"/>
    <s v="DOWN"/>
    <n v="1.1712000370025599"/>
    <n v="1.1690000295639"/>
    <n v="1.1720000505447301"/>
    <n v="1.1717000007629299"/>
    <x v="0"/>
    <n v="0"/>
    <n v="0"/>
    <n v="0"/>
  </r>
  <r>
    <d v="2025-08-27T00:00:00"/>
    <s v="19:00:00+00:00"/>
    <n v="1.1712499856948799"/>
    <n v="1.1713500022888099"/>
    <n v="1.1708999872207599"/>
    <n v="1.1709500551223699"/>
    <n v="18"/>
    <n v="1.17091000080108"/>
    <n v="8.3999633789066898E-4"/>
    <s v="UP"/>
    <n v="1.1707329916953999"/>
    <n v="-7.1001052856400904E-5"/>
    <s v="DOWN"/>
    <n v="1.7700910568230199E-4"/>
    <x v="1"/>
    <x v="328"/>
    <n v="1.19301073596052"/>
    <s v="UP"/>
    <n v="1.17065000534057"/>
    <n v="1.1712000370025599"/>
    <n v="1.1715500354766799"/>
    <n v="1.1720000505447301"/>
    <x v="0"/>
    <n v="0"/>
    <n v="0"/>
    <n v="0"/>
  </r>
  <r>
    <d v="2025-08-27T00:00:00"/>
    <s v="20:00:00+00:00"/>
    <n v="1.1713999509811399"/>
    <n v="1.1713999509811399"/>
    <n v="1.1710499525070099"/>
    <n v="1.1712499856948799"/>
    <n v="57"/>
    <n v="1.17139999866485"/>
    <n v="4.8999786376957501E-4"/>
    <s v="UP"/>
    <n v="1.17068799018859"/>
    <n v="-4.5001506805419902E-5"/>
    <s v="DOWN"/>
    <n v="7.1200847625729703E-4"/>
    <x v="1"/>
    <x v="329"/>
    <n v="0.61671896092909795"/>
    <s v="UP"/>
    <n v="1.1708999872207599"/>
    <n v="1.17065000534057"/>
    <n v="1.1713500022888099"/>
    <n v="1.1715500354766799"/>
    <x v="0"/>
    <n v="0"/>
    <n v="0"/>
    <n v="0"/>
  </r>
  <r>
    <d v="2025-08-27T00:00:00"/>
    <s v="22:00:00+00:00"/>
    <n v="1.1719499826431199"/>
    <n v="1.1719499826431199"/>
    <n v="1.1713999509811399"/>
    <n v="1.1714999675750699"/>
    <n v="0"/>
    <n v="1.1714499950408901"/>
    <n v="4.9996376037641997E-5"/>
    <s v="UP"/>
    <n v="1.1706739902496299"/>
    <n v="-1.39999389650036E-5"/>
    <s v="DOWN"/>
    <n v="7.7600479125994304E-4"/>
    <x v="1"/>
    <x v="330"/>
    <n v="2.2761345923226401"/>
    <s v="UP"/>
    <n v="1.1710499525070099"/>
    <n v="1.1708999872207599"/>
    <n v="1.1713999509811399"/>
    <n v="1.1713500022888099"/>
    <x v="0"/>
    <n v="0"/>
    <n v="0"/>
    <n v="0"/>
  </r>
  <r>
    <d v="2025-08-27T00:00:00"/>
    <s v="23:00:00+00:00"/>
    <n v="1.1720000505447301"/>
    <n v="1.1720000505447301"/>
    <n v="1.1719499826431199"/>
    <n v="1.1719499826431199"/>
    <n v="3"/>
    <n v="1.17151000499725"/>
    <n v="6.0009956359685598E-5"/>
    <s v="UP"/>
    <n v="1.1707129907608"/>
    <n v="3.9000511169451303E-5"/>
    <s v="UP"/>
    <n v="7.9701423645017701E-4"/>
    <x v="1"/>
    <x v="331"/>
    <n v="0.21036690876356001"/>
    <s v="UP"/>
    <n v="1.1713999509811399"/>
    <n v="1.1710499525070099"/>
    <n v="1.1719499826431199"/>
    <n v="1.1713999509811399"/>
    <x v="1"/>
    <n v="0"/>
    <n v="0"/>
    <n v="0"/>
  </r>
  <r>
    <d v="2025-08-28T00:00:00"/>
    <s v="00:00:00+00:00"/>
    <n v="1.1720499992370601"/>
    <n v="1.1721500158309901"/>
    <n v="1.1719000339507999"/>
    <n v="1.1721500158309901"/>
    <n v="14"/>
    <n v="1.1717299938201899"/>
    <n v="2.1998882293705599E-4"/>
    <s v="UP"/>
    <n v="1.1707729911804099"/>
    <n v="6.0000419616734698E-5"/>
    <s v="UP"/>
    <n v="9.5700263977049795E-4"/>
    <x v="1"/>
    <x v="332"/>
    <n v="0.223628818924787"/>
    <s v="UP"/>
    <n v="1.1719499826431199"/>
    <n v="1.1713999509811399"/>
    <n v="1.1720000505447301"/>
    <n v="1.1719499826431199"/>
    <x v="0"/>
    <n v="0"/>
    <n v="0"/>
    <n v="0"/>
  </r>
  <r>
    <d v="2025-08-28T00:00:00"/>
    <s v="01:00:00+00:00"/>
    <n v="1.1719000339507999"/>
    <n v="1.1725499629974301"/>
    <n v="1.1717000007629299"/>
    <n v="1.1725000143051101"/>
    <n v="20"/>
    <n v="1.17186000347137"/>
    <n v="1.30009651184037E-4"/>
    <s v="UP"/>
    <n v="1.17080899238586"/>
    <n v="3.6001205444335897E-5"/>
    <s v="UP"/>
    <n v="1.0510110855102E-3"/>
    <x v="1"/>
    <x v="333"/>
    <n v="-1.02679063780644"/>
    <s v="DOWN"/>
    <n v="1.1719000339507999"/>
    <n v="1.1719499826431199"/>
    <n v="1.1721500158309901"/>
    <n v="1.1720000505447301"/>
    <x v="0"/>
    <n v="0"/>
    <n v="0"/>
    <n v="0"/>
  </r>
  <r>
    <d v="2025-08-28T00:00:00"/>
    <s v="02:00:00+00:00"/>
    <n v="1.1726499795913601"/>
    <n v="1.1729500293731601"/>
    <n v="1.1723500490188501"/>
    <n v="1.1723500490188501"/>
    <n v="35"/>
    <n v="1.17211000919342"/>
    <n v="2.5000572204603101E-4"/>
    <s v="UP"/>
    <n v="1.1708639931678699"/>
    <n v="5.5000782013037099E-5"/>
    <s v="UP"/>
    <n v="1.2460160255431899E-3"/>
    <x v="1"/>
    <x v="334"/>
    <n v="3.5684117955186201"/>
    <s v="UP"/>
    <n v="1.1717000007629299"/>
    <n v="1.1719000339507999"/>
    <n v="1.1725499629974301"/>
    <n v="1.1721500158309901"/>
    <x v="0"/>
    <n v="0"/>
    <n v="0"/>
    <n v="0"/>
  </r>
  <r>
    <d v="2025-08-28T00:00:00"/>
    <s v="03:00:00+00:00"/>
    <n v="1.1718499660491899"/>
    <n v="1.1729999780654901"/>
    <n v="1.1718499660491899"/>
    <n v="1.1727499961853001"/>
    <n v="28"/>
    <n v="1.17209000587463"/>
    <n v="-2.0003318786709901E-5"/>
    <s v="DOWN"/>
    <n v="1.1709099936485201"/>
    <n v="4.6000480651731097E-5"/>
    <s v="UP"/>
    <n v="1.18001222610475E-3"/>
    <x v="1"/>
    <x v="335"/>
    <n v="-5.5182954761271796"/>
    <s v="DOWN"/>
    <n v="1.1723500490188501"/>
    <n v="1.1717000007629299"/>
    <n v="1.1729500293731601"/>
    <n v="1.1725499629974301"/>
    <x v="0"/>
    <n v="0"/>
    <n v="0"/>
    <n v="0"/>
  </r>
  <r>
    <d v="2025-08-28T00:00:00"/>
    <s v="04:00:00+00:00"/>
    <n v="1.1715500354766799"/>
    <n v="1.1718000173568699"/>
    <n v="1.1715500354766799"/>
    <n v="1.1715500354766799"/>
    <n v="19"/>
    <n v="1.17200000286102"/>
    <n v="-9.0003013610839803E-5"/>
    <s v="DOWN"/>
    <n v="1.17087199449539"/>
    <n v="-3.7999153137180298E-5"/>
    <s v="DOWN"/>
    <n v="1.1280083656310901E-3"/>
    <x v="1"/>
    <x v="336"/>
    <n v="-1.9583379785564501"/>
    <s v="DOWN"/>
    <n v="1.1718499660491899"/>
    <n v="1.1723500490188501"/>
    <n v="1.1729999780654901"/>
    <n v="1.1729500293731601"/>
    <x v="0"/>
    <n v="0"/>
    <n v="0"/>
    <n v="0"/>
  </r>
  <r>
    <d v="2025-08-28T00:00:00"/>
    <s v="05:00:00+00:00"/>
    <n v="1.1713999509811399"/>
    <n v="1.1715999841689999"/>
    <n v="1.1713000535964899"/>
    <n v="1.1715999841689999"/>
    <n v="49"/>
    <n v="1.17186999320983"/>
    <n v="-1.30009651184037E-4"/>
    <s v="DOWN"/>
    <n v="1.17087099313735"/>
    <n v="-1.0013580322709699E-6"/>
    <s v="DOWN"/>
    <n v="9.9900007247932798E-4"/>
    <x v="1"/>
    <x v="337"/>
    <n v="-0.99983570140714295"/>
    <s v="DOWN"/>
    <n v="1.1715500354766799"/>
    <n v="1.1718499660491899"/>
    <n v="1.1718000173568699"/>
    <n v="1.1729999780654901"/>
    <x v="0"/>
    <n v="0"/>
    <n v="0"/>
    <n v="0"/>
  </r>
  <r>
    <d v="2025-08-28T00:00:00"/>
    <s v="06:00:00+00:00"/>
    <n v="1.1717000007629299"/>
    <n v="1.1720000505447301"/>
    <n v="1.1710000038146899"/>
    <n v="1.1712499856948799"/>
    <n v="22"/>
    <n v="1.1718299865722599"/>
    <n v="-4.0006637573197697E-5"/>
    <s v="DOWN"/>
    <n v="1.1708699941635099"/>
    <n v="-9.989738463112019E-7"/>
    <s v="DOWN"/>
    <n v="9.5999240875244097E-4"/>
    <x v="1"/>
    <x v="338"/>
    <n v="1.7808161925961801"/>
    <s v="UP"/>
    <n v="1.1713000535964899"/>
    <n v="1.1715500354766799"/>
    <n v="1.1715999841689999"/>
    <n v="1.1718000173568699"/>
    <x v="0"/>
    <n v="0"/>
    <n v="0"/>
    <n v="0"/>
  </r>
  <r>
    <d v="2025-08-28T00:00:00"/>
    <s v="07:00:00+00:00"/>
    <n v="1.1713000535964899"/>
    <n v="1.1725000143051101"/>
    <n v="1.1710000038146899"/>
    <n v="1.1719499826431199"/>
    <n v="74"/>
    <n v="1.1715600013732901"/>
    <n v="-2.6998519897469798E-4"/>
    <s v="DOWN"/>
    <n v="1.1708799958228999"/>
    <n v="1.00016593933549E-5"/>
    <s v="UP"/>
    <n v="6.8000555038438804E-4"/>
    <x v="1"/>
    <x v="339"/>
    <n v="-2.8584952435492199"/>
    <s v="DOWN"/>
    <n v="1.1710000038146899"/>
    <n v="1.1713000535964899"/>
    <n v="1.1720000505447301"/>
    <n v="1.1715999841689999"/>
    <x v="0"/>
    <n v="0"/>
    <n v="0"/>
    <n v="0"/>
  </r>
  <r>
    <d v="2025-08-28T00:00:00"/>
    <s v="08:00:00+00:00"/>
    <n v="1.1717499494552599"/>
    <n v="1.1718499660491899"/>
    <n v="1.1707500219345"/>
    <n v="1.1708999872207599"/>
    <n v="67"/>
    <n v="1.1715399980545"/>
    <n v="-2.0003318786487799E-5"/>
    <s v="DOWN"/>
    <n v="1.17089599370956"/>
    <n v="1.5997886657625999E-5"/>
    <s v="UP"/>
    <n v="6.4400434494027404E-4"/>
    <x v="1"/>
    <x v="340"/>
    <n v="2.8261210176414999"/>
    <s v="UP"/>
    <n v="1.1710000038146899"/>
    <n v="1.1710000038146899"/>
    <n v="1.1725000143051101"/>
    <n v="1.1720000505447301"/>
    <x v="0"/>
    <n v="1"/>
    <n v="0"/>
    <n v="0"/>
  </r>
  <r>
    <d v="2025-08-28T00:00:00"/>
    <s v="09:00:00+00:00"/>
    <n v="1.1726000308990401"/>
    <n v="1.1728999614715501"/>
    <n v="1.1720999479293801"/>
    <n v="1.1720999479293801"/>
    <n v="611"/>
    <n v="1.17174999713897"/>
    <n v="2.09999084472611E-4"/>
    <s v="UP"/>
    <n v="1.1709069943428001"/>
    <n v="1.10006332396661E-5"/>
    <s v="UP"/>
    <n v="8.4300279617322005E-4"/>
    <x v="1"/>
    <x v="341"/>
    <n v="4.8293156728587396"/>
    <s v="UP"/>
    <n v="1.1707500219345"/>
    <n v="1.1710000038146899"/>
    <n v="1.1718499660491899"/>
    <n v="1.1725000143051101"/>
    <x v="0"/>
    <n v="0"/>
    <n v="0"/>
    <n v="0"/>
  </r>
  <r>
    <d v="2025-08-28T00:00:00"/>
    <s v="10:00:00+00:00"/>
    <n v="1.17470002174377"/>
    <n v="1.17505002021789"/>
    <n v="1.1727999448776201"/>
    <n v="1.1727999448776201"/>
    <n v="250"/>
    <n v="1.1724100112914999"/>
    <n v="6.6001415252681095E-4"/>
    <s v="UP"/>
    <n v="1.17098899364471"/>
    <n v="8.19993019105513E-5"/>
    <s v="UP"/>
    <n v="1.42101764678947E-3"/>
    <x v="1"/>
    <x v="342"/>
    <n v="8.9185137625538093"/>
    <s v="UP"/>
    <n v="1.1720999479293801"/>
    <n v="1.1707500219345"/>
    <n v="1.1728999614715501"/>
    <n v="1.1718499660491899"/>
    <x v="0"/>
    <n v="0"/>
    <n v="0"/>
    <n v="0"/>
  </r>
  <r>
    <d v="2025-08-28T00:00:00"/>
    <s v="11:00:00+00:00"/>
    <n v="1.17410004138946"/>
    <n v="1.17484998703002"/>
    <n v="1.17379999160766"/>
    <n v="1.17464995384216"/>
    <n v="53"/>
    <n v="1.1728900194167999"/>
    <n v="4.8000812530513099E-4"/>
    <s v="UP"/>
    <n v="1.1710719943046499"/>
    <n v="8.3000659942600294E-5"/>
    <s v="UP"/>
    <n v="1.8180251121520099E-3"/>
    <x v="1"/>
    <x v="343"/>
    <n v="-4.4038402916818704"/>
    <s v="DOWN"/>
    <n v="1.1727999448776201"/>
    <n v="1.1720999479293801"/>
    <n v="1.17505002021789"/>
    <n v="1.1728999614715501"/>
    <x v="0"/>
    <n v="0"/>
    <n v="0"/>
    <n v="0"/>
  </r>
  <r>
    <d v="2025-08-28T00:00:00"/>
    <s v="12:00:00+00:00"/>
    <n v="1.17455005645751"/>
    <n v="1.1762000322341899"/>
    <n v="1.17394995689392"/>
    <n v="1.1744999885559"/>
    <n v="2131"/>
    <n v="1.17354001998901"/>
    <n v="6.50000572204545E-4"/>
    <s v="UP"/>
    <n v="1.17116599559783"/>
    <n v="9.4001293182266398E-5"/>
    <s v="UP"/>
    <n v="2.3740243911742798E-3"/>
    <x v="1"/>
    <x v="344"/>
    <n v="1.75067171755303"/>
    <s v="UP"/>
    <n v="1.17379999160766"/>
    <n v="1.1727999448776201"/>
    <n v="1.17484998703002"/>
    <n v="1.17505002021789"/>
    <x v="0"/>
    <n v="0"/>
    <n v="0"/>
    <n v="0"/>
  </r>
  <r>
    <d v="2025-08-28T00:00:00"/>
    <s v="13:00:00+00:00"/>
    <n v="1.17490005493164"/>
    <n v="1.17495000362396"/>
    <n v="1.17365002632141"/>
    <n v="1.17435002326965"/>
    <n v="67"/>
    <n v="1.1741700410842799"/>
    <n v="6.3002109527587804E-4"/>
    <s v="UP"/>
    <n v="1.1712179970741201"/>
    <n v="5.2001476287921699E-5"/>
    <s v="UP"/>
    <n v="2.95204401016224E-3"/>
    <x v="1"/>
    <x v="345"/>
    <n v="1.33908596100879"/>
    <s v="UP"/>
    <n v="1.17394995689392"/>
    <n v="1.17379999160766"/>
    <n v="1.1762000322341899"/>
    <n v="1.17484998703002"/>
    <x v="0"/>
    <n v="0"/>
    <n v="0"/>
    <n v="0"/>
  </r>
  <r>
    <d v="2025-08-28T00:00:00"/>
    <s v="14:00:00+00:00"/>
    <n v="1.17474997043609"/>
    <n v="1.1761499643325799"/>
    <n v="1.1744999885559"/>
    <n v="1.17499995231628"/>
    <n v="157"/>
    <n v="1.17460002899169"/>
    <n v="4.2998790740966699E-4"/>
    <s v="UP"/>
    <n v="1.17126599550247"/>
    <n v="4.7998428344797603E-5"/>
    <s v="UP"/>
    <n v="3.3340334892271099E-3"/>
    <x v="1"/>
    <x v="346"/>
    <n v="-1.21039739026311"/>
    <s v="DOWN"/>
    <n v="1.17365002632141"/>
    <n v="1.17394995689392"/>
    <n v="1.17495000362396"/>
    <n v="1.1762000322341899"/>
    <x v="0"/>
    <n v="0"/>
    <n v="0"/>
    <n v="0"/>
  </r>
  <r>
    <d v="2025-08-28T00:00:00"/>
    <s v="15:00:00+00:00"/>
    <n v="1.17484998703002"/>
    <n v="1.17505002021789"/>
    <n v="1.17400002479553"/>
    <n v="1.17460000514984"/>
    <n v="237"/>
    <n v="1.1746300220489501"/>
    <n v="2.99930572511541E-5"/>
    <s v="UP"/>
    <n v="1.17129099607467"/>
    <n v="2.5000572204447701E-5"/>
    <s v="UP"/>
    <n v="3.3390259742738198E-3"/>
    <x v="1"/>
    <x v="347"/>
    <n v="0.428661556602079"/>
    <s v="UP"/>
    <n v="1.1744999885559"/>
    <n v="1.17365002632141"/>
    <n v="1.1761499643325799"/>
    <n v="1.17495000362396"/>
    <x v="0"/>
    <n v="0"/>
    <n v="0"/>
    <n v="0"/>
  </r>
  <r>
    <d v="2025-08-28T00:00:00"/>
    <s v="16:00:00+00:00"/>
    <n v="1.1765999794006301"/>
    <n v="1.1765999794006301"/>
    <n v="1.1753000020980799"/>
    <n v="1.1753000020980799"/>
    <n v="99"/>
    <n v="1.1751300096511801"/>
    <n v="4.9998760223379703E-4"/>
    <s v="UP"/>
    <n v="1.17136799573898"/>
    <n v="7.6999664306631703E-5"/>
    <s v="UP"/>
    <n v="3.7620139122009899E-3"/>
    <x v="1"/>
    <x v="348"/>
    <n v="6.43385004457242"/>
    <s v="UP"/>
    <n v="1.17400002479553"/>
    <n v="1.1744999885559"/>
    <n v="1.17505002021789"/>
    <n v="1.1761499643325799"/>
    <x v="0"/>
    <n v="0"/>
    <n v="0"/>
    <n v="0"/>
  </r>
  <r>
    <d v="2025-08-28T00:00:00"/>
    <s v="17:00:00+00:00"/>
    <n v="1.1764500141143699"/>
    <n v="1.1772999763488701"/>
    <n v="1.1763499975204399"/>
    <n v="1.1770000457763601"/>
    <n v="1592"/>
    <n v="1.1755100011825499"/>
    <n v="3.7999153137202498E-4"/>
    <s v="UP"/>
    <n v="1.1714319968223501"/>
    <n v="6.4001083374121096E-5"/>
    <s v="UP"/>
    <n v="4.0780043601988903E-3"/>
    <x v="1"/>
    <x v="349"/>
    <n v="-1.28115457762439"/>
    <s v="DOWN"/>
    <n v="1.1753000020980799"/>
    <n v="1.17400002479553"/>
    <n v="1.1765999794006301"/>
    <n v="1.17505002021789"/>
    <x v="1"/>
    <n v="0"/>
    <n v="0"/>
    <n v="0"/>
  </r>
  <r>
    <d v="2025-08-28T00:00:00"/>
    <s v="18:00:00+00:00"/>
    <n v="1.1765500307083101"/>
    <n v="1.1765500307083101"/>
    <n v="1.1761499643325799"/>
    <n v="1.1764500141143699"/>
    <n v="54"/>
    <n v="1.17583999633789"/>
    <n v="3.2999515533460502E-4"/>
    <s v="UP"/>
    <n v="1.1714939975738501"/>
    <n v="6.2000751495316906E-5"/>
    <s v="UP"/>
    <n v="4.3459987640381802E-3"/>
    <x v="1"/>
    <x v="350"/>
    <n v="0.34975512322725399"/>
    <s v="UP"/>
    <n v="1.1763499975204399"/>
    <n v="1.1753000020980799"/>
    <n v="1.1772999763488701"/>
    <n v="1.1765999794006301"/>
    <x v="0"/>
    <n v="0"/>
    <n v="0"/>
    <n v="0"/>
  </r>
  <r>
    <d v="2025-08-28T00:00:00"/>
    <s v="19:00:00+00:00"/>
    <n v="1.1763000488281199"/>
    <n v="1.1765500307083101"/>
    <n v="1.1761499643325799"/>
    <n v="1.1765500307083101"/>
    <n v="415"/>
    <n v="1.17615001201629"/>
    <n v="3.1001567840571698E-4"/>
    <s v="UP"/>
    <n v="1.1715499997138901"/>
    <n v="5.6002140045085998E-5"/>
    <s v="UP"/>
    <n v="4.6000123023988097E-3"/>
    <x v="1"/>
    <x v="351"/>
    <n v="-2.33670670859973"/>
    <s v="DOWN"/>
    <n v="1.1761499643325799"/>
    <n v="1.1763499975204399"/>
    <n v="1.1765500307083101"/>
    <n v="1.1772999763488701"/>
    <x v="0"/>
    <n v="0"/>
    <n v="0"/>
    <n v="0"/>
  </r>
  <r>
    <d v="2025-08-28T00:00:00"/>
    <s v="20:00:00+00:00"/>
    <n v="1.1755000352859399"/>
    <n v="1.1757999658584499"/>
    <n v="1.1755000352859399"/>
    <n v="1.1757999658584499"/>
    <n v="1989"/>
    <n v="1.17628002166748"/>
    <n v="1.30009651184037E-4"/>
    <s v="UP"/>
    <n v="1.1715939998626701"/>
    <n v="4.40001487733709E-5"/>
    <s v="UP"/>
    <n v="4.6860218048094798E-3"/>
    <x v="1"/>
    <x v="352"/>
    <n v="-7.0107603884960703"/>
    <s v="DOWN"/>
    <n v="1.1761499643325799"/>
    <n v="1.1761499643325799"/>
    <n v="1.1765500307083101"/>
    <n v="1.1765500307083101"/>
    <x v="0"/>
    <n v="0"/>
    <n v="0"/>
    <n v="0"/>
  </r>
  <r>
    <d v="2025-08-28T00:00:00"/>
    <s v="22:00:00+00:00"/>
    <n v="1.17499995231628"/>
    <n v="1.1755499839782699"/>
    <n v="1.17490005493164"/>
    <n v="1.1755499839782699"/>
    <n v="0"/>
    <n v="1.1759600162506101"/>
    <n v="-3.20005416870161E-4"/>
    <s v="DOWN"/>
    <n v="1.17165499925613"/>
    <n v="6.09993934630459E-5"/>
    <s v="UP"/>
    <n v="4.3050169944762696E-3"/>
    <x v="1"/>
    <x v="353"/>
    <n v="-3.9772327003193899"/>
    <s v="DOWN"/>
    <n v="1.1755000352859399"/>
    <n v="1.1761499643325799"/>
    <n v="1.1757999658584499"/>
    <n v="1.1765500307083101"/>
    <x v="0"/>
    <n v="0"/>
    <n v="0"/>
    <n v="0"/>
  </r>
  <r>
    <d v="2025-08-28T00:00:00"/>
    <s v="23:00:00+00:00"/>
    <n v="1.1753000020980799"/>
    <n v="1.1754000186920099"/>
    <n v="1.1753000020980799"/>
    <n v="1.1754000186920099"/>
    <n v="7"/>
    <n v="1.1757300138473501"/>
    <n v="-2.3000240325932099E-4"/>
    <s v="DOWN"/>
    <n v="1.1717149996757501"/>
    <n v="6.0000419616734698E-5"/>
    <s v="UP"/>
    <n v="4.0150141716002096E-3"/>
    <x v="1"/>
    <x v="354"/>
    <n v="1.6153162806683501"/>
    <s v="UP"/>
    <n v="1.17490005493164"/>
    <n v="1.1755000352859399"/>
    <n v="1.1755499839782699"/>
    <n v="1.1757999658584499"/>
    <x v="0"/>
    <n v="0"/>
    <n v="0"/>
    <n v="0"/>
  </r>
  <r>
    <d v="2025-08-29T00:00:00"/>
    <s v="00:00:00+00:00"/>
    <n v="1.1757999658584499"/>
    <n v="1.1757999658584499"/>
    <n v="1.1757999658584499"/>
    <n v="1.1757999658584499"/>
    <n v="2"/>
    <n v="1.17558000087738"/>
    <n v="-1.50012969970525E-4"/>
    <s v="DOWN"/>
    <n v="1.1717890000343301"/>
    <n v="7.4000358581516296E-5"/>
    <s v="UP"/>
    <n v="3.79100084304817E-3"/>
    <x v="1"/>
    <x v="355"/>
    <n v="2.6013743896951298"/>
    <s v="UP"/>
    <n v="1.1753000020980799"/>
    <n v="1.17490005493164"/>
    <n v="1.1754000186920099"/>
    <n v="1.1755499839782699"/>
    <x v="0"/>
    <n v="0"/>
    <n v="0"/>
    <n v="0"/>
  </r>
  <r>
    <d v="2025-08-29T00:00:00"/>
    <s v="01:00:00+00:00"/>
    <n v="1.17344999313354"/>
    <n v="1.17509996891021"/>
    <n v="1.17344999313354"/>
    <n v="1.17509996891021"/>
    <n v="38"/>
    <n v="1.17500998973846"/>
    <n v="-5.7001113891619304E-4"/>
    <s v="DOWN"/>
    <n v="1.1718120002746499"/>
    <n v="2.3000240325865501E-5"/>
    <s v="UP"/>
    <n v="3.1979894638061099E-3"/>
    <x v="1"/>
    <x v="356"/>
    <n v="-15.772298820489301"/>
    <s v="DOWN"/>
    <n v="1.1757999658584499"/>
    <n v="1.1753000020980799"/>
    <n v="1.1757999658584499"/>
    <n v="1.1754000186920099"/>
    <x v="0"/>
    <n v="0"/>
    <n v="0"/>
    <n v="0"/>
  </r>
  <r>
    <d v="2025-08-29T00:00:00"/>
    <s v="02:00:00+00:00"/>
    <n v="1.17359995841979"/>
    <n v="1.17410004138946"/>
    <n v="1.17359995841979"/>
    <n v="1.17359995841979"/>
    <n v="14"/>
    <n v="1.17462997436523"/>
    <n v="-3.8001537322984703E-4"/>
    <s v="DOWN"/>
    <n v="1.1718379998207"/>
    <n v="2.59995460509809E-5"/>
    <s v="UP"/>
    <n v="2.7919745445252799E-3"/>
    <x v="1"/>
    <x v="357"/>
    <n v="0.88971886964519997"/>
    <s v="UP"/>
    <n v="1.17344999313354"/>
    <n v="1.1757999658584499"/>
    <n v="1.17509996891021"/>
    <n v="1.1757999658584499"/>
    <x v="0"/>
    <n v="0"/>
    <n v="0"/>
    <n v="0"/>
  </r>
  <r>
    <d v="2025-08-29T00:00:00"/>
    <s v="03:00:00+00:00"/>
    <n v="1.17400002479553"/>
    <n v="1.17400002479553"/>
    <n v="1.17359995841979"/>
    <n v="1.17365002632141"/>
    <n v="35"/>
    <n v="1.1744299888610801"/>
    <n v="-1.99985504150346E-4"/>
    <s v="DOWN"/>
    <n v="1.17188100099563"/>
    <n v="4.3001174926837701E-5"/>
    <s v="UP"/>
    <n v="2.5489878654480999E-3"/>
    <x v="1"/>
    <x v="358"/>
    <n v="2.3966416235287702"/>
    <s v="UP"/>
    <n v="1.17359995841979"/>
    <n v="1.17344999313354"/>
    <n v="1.17410004138946"/>
    <n v="1.17509996891021"/>
    <x v="0"/>
    <n v="0"/>
    <n v="0"/>
    <n v="0"/>
  </r>
  <r>
    <d v="2025-08-29T00:00:00"/>
    <s v="04:00:00+00:00"/>
    <n v="1.17404997348785"/>
    <n v="1.17404997348785"/>
    <n v="1.17344999313354"/>
    <n v="1.17379999160766"/>
    <n v="46"/>
    <n v="1.17417998313903"/>
    <n v="-2.5000572204603101E-4"/>
    <s v="DOWN"/>
    <n v="1.1719320011138901"/>
    <n v="5.1000118255650701E-5"/>
    <s v="UP"/>
    <n v="2.24798202514642E-3"/>
    <x v="1"/>
    <x v="359"/>
    <n v="0.30542739652544498"/>
    <s v="UP"/>
    <n v="1.17359995841979"/>
    <n v="1.17359995841979"/>
    <n v="1.17400002479553"/>
    <n v="1.17410004138946"/>
    <x v="0"/>
    <n v="0"/>
    <n v="0"/>
    <n v="0"/>
  </r>
  <r>
    <d v="2025-08-29T00:00:00"/>
    <s v="05:00:00+00:00"/>
    <n v="1.17425000667572"/>
    <n v="1.17425000667572"/>
    <n v="1.17369997501373"/>
    <n v="1.17369997501373"/>
    <n v="6"/>
    <n v="1.1738699913024899"/>
    <n v="-3.09991836547895E-4"/>
    <s v="DOWN"/>
    <n v="1.1719870018959"/>
    <n v="5.5000782012815101E-5"/>
    <s v="UP"/>
    <n v="1.88298940658571E-3"/>
    <x v="1"/>
    <x v="360"/>
    <n v="1.27510525487574"/>
    <s v="UP"/>
    <n v="1.17344999313354"/>
    <n v="1.17359995841979"/>
    <n v="1.17404997348785"/>
    <n v="1.17400002479553"/>
    <x v="0"/>
    <n v="0"/>
    <n v="0"/>
    <n v="0"/>
  </r>
  <r>
    <d v="2025-08-29T00:00:00"/>
    <s v="06:00:00+00:00"/>
    <n v="1.1744999885559"/>
    <n v="1.17455005645751"/>
    <n v="1.17385005950927"/>
    <n v="1.17420005798339"/>
    <n v="58"/>
    <n v="1.1740799903869601"/>
    <n v="2.0999908447283299E-4"/>
    <s v="UP"/>
    <n v="1.1720570015907199"/>
    <n v="6.9999694824351895E-5"/>
    <s v="UP"/>
    <n v="2.02298879623419E-3"/>
    <x v="1"/>
    <x v="361"/>
    <n v="1.6150383109170401"/>
    <s v="UP"/>
    <n v="1.17369997501373"/>
    <n v="1.17344999313354"/>
    <n v="1.17425000667572"/>
    <n v="1.17404997348785"/>
    <x v="0"/>
    <n v="0"/>
    <n v="0"/>
    <n v="0"/>
  </r>
  <r>
    <d v="2025-08-29T00:00:00"/>
    <s v="07:00:00+00:00"/>
    <n v="1.1753000020980799"/>
    <n v="1.1753000020980799"/>
    <n v="1.17390000820159"/>
    <n v="1.1748000383377"/>
    <n v="45"/>
    <n v="1.1744199991226101"/>
    <n v="3.4000873565664898E-4"/>
    <s v="UP"/>
    <n v="1.1721470022201499"/>
    <n v="9.0000629425102105E-5"/>
    <s v="UP"/>
    <n v="2.2729969024657399E-3"/>
    <x v="1"/>
    <x v="362"/>
    <n v="4.8173173353186503"/>
    <s v="UP"/>
    <n v="1.17385005950927"/>
    <n v="1.17369997501373"/>
    <n v="1.17455005645751"/>
    <n v="1.17425000667572"/>
    <x v="0"/>
    <n v="0"/>
    <n v="0"/>
    <n v="0"/>
  </r>
  <r>
    <d v="2025-08-29T00:00:00"/>
    <s v="08:00:00+00:00"/>
    <n v="1.17495000362396"/>
    <n v="1.1762499809265099"/>
    <n v="1.17474997043609"/>
    <n v="1.17484998703002"/>
    <n v="582"/>
    <n v="1.1746099948883"/>
    <n v="1.89995765686123E-4"/>
    <s v="UP"/>
    <n v="1.1722620034217801"/>
    <n v="1.15001201629549E-4"/>
    <s v="UP"/>
    <n v="2.3479914665223102E-3"/>
    <x v="1"/>
    <x v="363"/>
    <n v="-2.7452068188043701"/>
    <s v="DOWN"/>
    <n v="1.17390000820159"/>
    <n v="1.17385005950927"/>
    <n v="1.1753000020980799"/>
    <n v="1.17455005645751"/>
    <x v="0"/>
    <n v="0"/>
    <n v="0"/>
    <n v="0"/>
  </r>
  <r>
    <d v="2025-08-29T00:00:00"/>
    <s v="09:00:00+00:00"/>
    <n v="1.17505002021789"/>
    <n v="1.1756000518798799"/>
    <n v="1.1744999885559"/>
    <n v="1.17515003681182"/>
    <n v="362"/>
    <n v="1.1748100042343099"/>
    <n v="2.0000934600816701E-4"/>
    <s v="UP"/>
    <n v="1.1723680043220499"/>
    <n v="1.06000900268465E-4"/>
    <s v="UP"/>
    <n v="2.4419999122620101E-3"/>
    <x v="1"/>
    <x v="364"/>
    <n v="0.62686665429619304"/>
    <s v="UP"/>
    <n v="1.17474997043609"/>
    <n v="1.17390000820159"/>
    <n v="1.1762499809265099"/>
    <n v="1.1753000020980799"/>
    <x v="0"/>
    <n v="0"/>
    <n v="0"/>
    <n v="0"/>
  </r>
  <r>
    <d v="2025-08-29T00:00:00"/>
    <s v="10:00:00+00:00"/>
    <n v="1.1744999885559"/>
    <n v="1.17455005645751"/>
    <n v="1.17445003986358"/>
    <n v="1.17445003986358"/>
    <n v="249"/>
    <n v="1.17486000061035"/>
    <n v="4.9996376037641997E-5"/>
    <s v="UP"/>
    <n v="1.1724640035629199"/>
    <n v="9.5999240875332904E-5"/>
    <s v="UP"/>
    <n v="2.3959970474243201E-3"/>
    <x v="1"/>
    <x v="365"/>
    <n v="-4.38512898419736"/>
    <s v="DOWN"/>
    <n v="1.1744999885559"/>
    <n v="1.17474997043609"/>
    <n v="1.1756000518798799"/>
    <n v="1.1762499809265099"/>
    <x v="0"/>
    <n v="0"/>
    <n v="0"/>
    <n v="0"/>
  </r>
  <r>
    <d v="2025-08-29T00:00:00"/>
    <s v="11:00:00+00:00"/>
    <n v="1.17400002479553"/>
    <n v="1.17439997196197"/>
    <n v="1.17369997501373"/>
    <n v="1.17439997196197"/>
    <n v="115"/>
    <n v="1.1747600078582701"/>
    <n v="-9.9992752075284103E-5"/>
    <s v="DOWN"/>
    <n v="1.1725790047645499"/>
    <n v="1.15001201629549E-4"/>
    <s v="UP"/>
    <n v="2.18100309371949E-3"/>
    <x v="1"/>
    <x v="366"/>
    <n v="-3.6798674999632"/>
    <s v="DOWN"/>
    <n v="1.17445003986358"/>
    <n v="1.1744999885559"/>
    <n v="1.17455005645751"/>
    <n v="1.1756000518798799"/>
    <x v="0"/>
    <n v="0"/>
    <n v="0"/>
    <n v="0"/>
  </r>
  <r>
    <d v="2025-08-29T00:00:00"/>
    <s v="12:00:00+00:00"/>
    <n v="1.17334997653961"/>
    <n v="1.17400002479553"/>
    <n v="1.1727999448776201"/>
    <n v="1.17359995841979"/>
    <n v="8747"/>
    <n v="1.17437000274658"/>
    <n v="-3.9000511169429099E-4"/>
    <s v="DOWN"/>
    <n v="1.1727140045166"/>
    <n v="1.3499975204478399E-4"/>
    <s v="UP"/>
    <n v="1.65599822998041E-3"/>
    <x v="1"/>
    <x v="367"/>
    <n v="-4.3579191368699597"/>
    <s v="DOWN"/>
    <n v="1.17369997501373"/>
    <n v="1.17445003986358"/>
    <n v="1.17439997196197"/>
    <n v="1.17455005645751"/>
    <x v="0"/>
    <n v="1"/>
    <n v="0"/>
    <n v="0"/>
  </r>
  <r>
    <d v="2025-08-29T00:00:00"/>
    <s v="13:00:00+00:00"/>
    <n v="1.17439997196197"/>
    <n v="1.1748000383377"/>
    <n v="1.1729999780654901"/>
    <n v="1.17359995841979"/>
    <n v="4032"/>
    <n v="1.17425999641418"/>
    <n v="-1.1000633239732701E-4"/>
    <s v="DOWN"/>
    <n v="1.17286200284957"/>
    <n v="1.47998332977294E-4"/>
    <s v="UP"/>
    <n v="1.39799356460579E-3"/>
    <x v="1"/>
    <x v="368"/>
    <n v="7.5673689991522401"/>
    <s v="UP"/>
    <n v="1.1727999448776201"/>
    <n v="1.17369997501373"/>
    <n v="1.17400002479553"/>
    <n v="1.17439997196197"/>
    <x v="0"/>
    <n v="0"/>
    <n v="0"/>
    <n v="0"/>
  </r>
  <r>
    <d v="2025-08-29T00:00:00"/>
    <s v="14:00:00+00:00"/>
    <n v="1.17805004119873"/>
    <n v="1.17805004119873"/>
    <n v="1.17460000514984"/>
    <n v="1.17460000514984"/>
    <n v="1031"/>
    <n v="1.17486000061035"/>
    <n v="6.0000419616690304E-4"/>
    <s v="UP"/>
    <n v="1.1731030035018899"/>
    <n v="2.4100065231325E-4"/>
    <s v="UP"/>
    <n v="1.7569971084594399E-3"/>
    <x v="1"/>
    <x v="369"/>
    <n v="16.259065527632501"/>
    <s v="UP"/>
    <n v="1.1729999780654901"/>
    <n v="1.1727999448776201"/>
    <n v="1.1748000383377"/>
    <n v="1.17400002479553"/>
    <x v="0"/>
    <n v="0"/>
    <n v="0"/>
    <n v="0"/>
  </r>
  <r>
    <d v="2025-08-29T00:00:00"/>
    <s v="15:00:00+00:00"/>
    <n v="1.1770999431610101"/>
    <n v="1.17840003967285"/>
    <n v="1.1770999431610101"/>
    <n v="1.17805004119873"/>
    <n v="5585"/>
    <n v="1.1753799915313701"/>
    <n v="5.1999092102050705E-4"/>
    <s v="UP"/>
    <n v="1.1733160018920801"/>
    <n v="2.1299839019772699E-4"/>
    <s v="UP"/>
    <n v="2.0639896392822201E-3"/>
    <x v="1"/>
    <x v="370"/>
    <n v="-5.84943763098806"/>
    <s v="DOWN"/>
    <n v="1.17460000514984"/>
    <n v="1.1729999780654901"/>
    <n v="1.17805004119873"/>
    <n v="1.1748000383377"/>
    <x v="1"/>
    <n v="0"/>
    <n v="0"/>
    <n v="0"/>
  </r>
  <r>
    <d v="2025-08-29T00:00:00"/>
    <s v="16:00:00+00:00"/>
    <n v="1.17774999141693"/>
    <n v="1.1782499551773"/>
    <n v="1.1771500110626201"/>
    <n v="1.1771500110626201"/>
    <n v="430"/>
    <n v="1.1761299848556499"/>
    <n v="7.4999332427982902E-4"/>
    <s v="UP"/>
    <n v="1.1735420012474"/>
    <n v="2.2599935531619701E-4"/>
    <s v="UP"/>
    <n v="2.5879836082458498E-3"/>
    <x v="1"/>
    <x v="371"/>
    <n v="2.2645202301965099"/>
    <s v="UP"/>
    <n v="1.1770999431610101"/>
    <n v="1.17460000514984"/>
    <n v="1.17840003967285"/>
    <n v="1.17805004119873"/>
    <x v="0"/>
    <n v="0"/>
    <n v="0"/>
    <n v="0"/>
  </r>
  <r>
    <d v="2025-08-29T00:00:00"/>
    <s v="17:00:00+00:00"/>
    <n v="1.1771999597549401"/>
    <n v="1.17774999141693"/>
    <n v="1.1771999597549401"/>
    <n v="1.17774999141693"/>
    <n v="49"/>
    <n v="1.17689998149871"/>
    <n v="7.69996643066317E-4"/>
    <s v="UP"/>
    <n v="1.17373100042343"/>
    <n v="1.8899917602532799E-4"/>
    <s v="UP"/>
    <n v="3.1689810752868401E-3"/>
    <x v="1"/>
    <x v="372"/>
    <n v="-3.31760145261413"/>
    <s v="DOWN"/>
    <n v="1.1771500110626201"/>
    <n v="1.1770999431610101"/>
    <n v="1.1782499551773"/>
    <n v="1.17840003967285"/>
    <x v="0"/>
    <n v="0"/>
    <n v="0"/>
    <n v="0"/>
  </r>
  <r>
    <d v="2025-08-29T00:00:00"/>
    <s v="18:00:00+00:00"/>
    <n v="1.1773999929428101"/>
    <n v="1.1773999929428101"/>
    <n v="1.1768499612808201"/>
    <n v="1.1772500276565501"/>
    <n v="786"/>
    <n v="1.17749998569488"/>
    <n v="6.0000419616712498E-4"/>
    <s v="UP"/>
    <n v="1.17393800020217"/>
    <n v="2.0699977874749599E-4"/>
    <s v="UP"/>
    <n v="3.56198549270647E-3"/>
    <x v="1"/>
    <x v="373"/>
    <n v="0.77215933411820004"/>
    <s v="UP"/>
    <n v="1.1771999597549401"/>
    <n v="1.1771500110626201"/>
    <n v="1.17774999141693"/>
    <n v="1.1782499551773"/>
    <x v="0"/>
    <n v="0"/>
    <n v="0"/>
    <n v="0"/>
  </r>
  <r>
    <d v="2025-08-29T00:00:00"/>
    <s v="19:00:00+00:00"/>
    <n v="1.1773500442504801"/>
    <n v="1.1775000095367401"/>
    <n v="1.1769499778747501"/>
    <n v="1.1773500442504801"/>
    <n v="60"/>
    <n v="1.17735998630523"/>
    <n v="-1.3999938964848099E-4"/>
    <s v="DOWN"/>
    <n v="1.17410600185394"/>
    <n v="1.6800165176400399E-4"/>
    <s v="UP"/>
    <n v="3.2539844512939802E-3"/>
    <x v="1"/>
    <x v="374"/>
    <n v="-0.32719147922821801"/>
    <s v="DOWN"/>
    <n v="1.1768499612808201"/>
    <n v="1.1771999597549401"/>
    <n v="1.1773999929428101"/>
    <n v="1.17774999141693"/>
    <x v="0"/>
    <n v="0"/>
    <n v="0"/>
    <n v="0"/>
  </r>
  <r>
    <d v="2025-08-29T00:00:00"/>
    <s v="20:00:00+00:00"/>
    <n v="1.1761499643325799"/>
    <n v="1.1775499582290601"/>
    <n v="1.1757999658584499"/>
    <n v="1.1775499582290601"/>
    <n v="78"/>
    <n v="1.1771699905395501"/>
    <n v="-1.89995765686123E-4"/>
    <s v="DOWN"/>
    <n v="1.1741950011253299"/>
    <n v="8.8999271392831107E-5"/>
    <s v="UP"/>
    <n v="2.9749894142150298E-3"/>
    <x v="1"/>
    <x v="375"/>
    <n v="-7.4061042232294998"/>
    <s v="DOWN"/>
    <n v="1.1769499778747501"/>
    <n v="1.1768499612808201"/>
    <n v="1.1775000095367401"/>
    <n v="1.1773999929428101"/>
    <x v="0"/>
    <n v="0"/>
    <n v="0"/>
    <n v="0"/>
  </r>
  <r>
    <d v="2025-09-02T00:00:00"/>
    <s v="04:00:00+00:00"/>
    <n v="1.1766999959945601"/>
    <n v="1.1796499490737899"/>
    <n v="1.1763999462127599"/>
    <n v="1.1796499490737899"/>
    <n v="1786"/>
    <n v="1.1769599914550699"/>
    <n v="-2.09999084472611E-4"/>
    <s v="DOWN"/>
    <n v="1.17429500102996"/>
    <n v="9.9999904632497305E-5"/>
    <s v="UP"/>
    <n v="2.6649904251099198E-3"/>
    <x v="1"/>
    <x v="376"/>
    <n v="2.5804735124378402"/>
    <s v="UP"/>
    <n v="1.1757999658584499"/>
    <n v="1.1769499778747501"/>
    <n v="1.1775499582290601"/>
    <n v="1.1775000095367401"/>
    <x v="1"/>
    <n v="0"/>
    <n v="0"/>
    <n v="0"/>
  </r>
  <r>
    <d v="2025-09-02T00:00:00"/>
    <s v="05:00:00+00:00"/>
    <n v="1.1769000291824301"/>
    <n v="1.1770499944686801"/>
    <n v="1.1762499809265099"/>
    <n v="1.1770000457763601"/>
    <n v="954"/>
    <n v="1.17690000534057"/>
    <n v="-5.99861145018643E-5"/>
    <s v="DOWN"/>
    <n v="1.1744140005111601"/>
    <n v="1.1899948120119801E-4"/>
    <s v="UP"/>
    <n v="2.48600482940686E-3"/>
    <x v="1"/>
    <x v="377"/>
    <n v="0.93337209315924197"/>
    <s v="UP"/>
    <n v="1.1763999462127599"/>
    <n v="1.1757999658584499"/>
    <n v="1.1796499490737899"/>
    <n v="1.1775499582290601"/>
    <x v="0"/>
    <n v="0"/>
    <n v="0"/>
    <n v="0"/>
  </r>
  <r>
    <d v="2025-09-02T00:00:00"/>
    <s v="06:00:00+00:00"/>
    <n v="1.17774999141693"/>
    <n v="1.17805004119873"/>
    <n v="1.1770000457763601"/>
    <n v="1.1770000457763601"/>
    <n v="308"/>
    <n v="1.1769700050353999"/>
    <n v="6.9999694824129905E-5"/>
    <s v="UP"/>
    <n v="1.17454400062561"/>
    <n v="1.30000114440864E-4"/>
    <s v="UP"/>
    <n v="2.4260044097901201E-3"/>
    <x v="1"/>
    <x v="378"/>
    <n v="3.8045581300450801"/>
    <s v="UP"/>
    <n v="1.1762499809265099"/>
    <n v="1.1763999462127599"/>
    <n v="1.1770499944686801"/>
    <n v="1.1796499490737899"/>
    <x v="0"/>
    <n v="0"/>
    <n v="0"/>
    <n v="0"/>
  </r>
  <r>
    <d v="2025-09-02T00:00:00"/>
    <s v="07:00:00+00:00"/>
    <n v="1.1719000339507999"/>
    <n v="1.17805004119873"/>
    <n v="1.1717499494552599"/>
    <n v="1.17774999141693"/>
    <n v="3235"/>
    <n v="1.1758800029754599"/>
    <n v="-1.0900020599364699E-3"/>
    <s v="DOWN"/>
    <n v="1.1745540022850001"/>
    <n v="1.00016593933549E-5"/>
    <s v="UP"/>
    <n v="1.32600069046029E-3"/>
    <x v="1"/>
    <x v="379"/>
    <n v="-24.494225345062201"/>
    <s v="DOWN"/>
    <n v="1.1770000457763601"/>
    <n v="1.1762499809265099"/>
    <n v="1.17805004119873"/>
    <n v="1.1770499944686801"/>
    <x v="0"/>
    <n v="0"/>
    <n v="0"/>
    <n v="0"/>
  </r>
  <r>
    <d v="2025-09-02T00:00:00"/>
    <s v="08:00:00+00:00"/>
    <n v="1.1718499660491899"/>
    <n v="1.1729500293731601"/>
    <n v="1.1708999872207599"/>
    <n v="1.1719000339507999"/>
    <n v="350"/>
    <n v="1.1750200033187801"/>
    <n v="-8.59999656677379E-4"/>
    <s v="DOWN"/>
    <n v="1.1745520019531199"/>
    <n v="-2.0003318785821699E-6"/>
    <s v="DOWN"/>
    <n v="4.6800136566149599E-4"/>
    <x v="1"/>
    <x v="380"/>
    <n v="-0.135145777193308"/>
    <s v="DOWN"/>
    <n v="1.1717499494552599"/>
    <n v="1.1770000457763601"/>
    <n v="1.17805004119873"/>
    <n v="1.17805004119873"/>
    <x v="0"/>
    <n v="0"/>
    <n v="0"/>
    <n v="0"/>
  </r>
  <r>
    <d v="2025-09-02T00:00:00"/>
    <s v="09:00:00+00:00"/>
    <n v="1.1711000204086299"/>
    <n v="1.1721999645233101"/>
    <n v="1.1698499917984"/>
    <n v="1.1721999645233101"/>
    <n v="2901"/>
    <n v="1.17390000820159"/>
    <n v="-1.1199951171874101E-3"/>
    <s v="DOWN"/>
    <n v="1.1745340013504"/>
    <n v="-1.8000602722167901E-5"/>
    <s v="DOWN"/>
    <n v="-6.3399314880374603E-4"/>
    <x v="0"/>
    <x v="381"/>
    <n v="-2.0507488108060401"/>
    <s v="DOWN"/>
    <n v="1.1708999872207599"/>
    <n v="1.1717499494552599"/>
    <n v="1.1729500293731601"/>
    <n v="1.17805004119873"/>
    <x v="0"/>
    <n v="0"/>
    <n v="0"/>
    <n v="0"/>
  </r>
  <r>
    <d v="2025-09-02T00:00:00"/>
    <s v="10:00:00+00:00"/>
    <n v="1.17054998874664"/>
    <n v="1.1714500188827499"/>
    <n v="1.17009997367858"/>
    <n v="1.1709500551223699"/>
    <n v="1650"/>
    <n v="1.1726300001144401"/>
    <n v="-1.27000808715815E-3"/>
    <s v="DOWN"/>
    <n v="1.1745040011405901"/>
    <n v="-3.0000209808367298E-5"/>
    <s v="DOWN"/>
    <n v="-1.87400102615353E-3"/>
    <x v="0"/>
    <x v="382"/>
    <n v="-1.46475097463806"/>
    <s v="DOWN"/>
    <n v="1.1698499917984"/>
    <n v="1.1708999872207599"/>
    <n v="1.1721999645233101"/>
    <n v="1.1729500293731601"/>
    <x v="0"/>
    <n v="0"/>
    <n v="0"/>
    <n v="0"/>
  </r>
  <r>
    <d v="2025-09-02T00:00:00"/>
    <s v="11:00:00+00:00"/>
    <n v="1.1720999479293801"/>
    <n v="1.1723500490188501"/>
    <n v="1.17019999027252"/>
    <n v="1.1707500219345"/>
    <n v="782"/>
    <n v="1.17149999141693"/>
    <n v="-1.13000869750989E-3"/>
    <s v="DOWN"/>
    <n v="1.1745079994201599"/>
    <n v="3.99827957142662E-6"/>
    <s v="UP"/>
    <n v="-3.0080080032348598E-3"/>
    <x v="0"/>
    <x v="383"/>
    <n v="7.5873265043153602"/>
    <s v="UP"/>
    <n v="1.17009997367858"/>
    <n v="1.1698499917984"/>
    <n v="1.1714500188827499"/>
    <n v="1.1721999645233101"/>
    <x v="0"/>
    <n v="0"/>
    <n v="0"/>
    <n v="0"/>
  </r>
  <r>
    <d v="2025-09-02T00:00:00"/>
    <s v="12:00:00+00:00"/>
    <n v="1.16939997673034"/>
    <n v="1.1726499795913601"/>
    <n v="1.1686999797821001"/>
    <n v="1.1720000505447301"/>
    <n v="5128"/>
    <n v="1.1709999799728299"/>
    <n v="-5.0001144409161902E-4"/>
    <s v="DOWN"/>
    <n v="1.1744429993629399"/>
    <n v="-6.5000057220432298E-5"/>
    <s v="DOWN"/>
    <n v="-3.4430193901060502E-3"/>
    <x v="0"/>
    <x v="384"/>
    <n v="-7.1685253633619803"/>
    <s v="DOWN"/>
    <n v="1.17019999027252"/>
    <n v="1.17009997367858"/>
    <n v="1.1723500490188501"/>
    <n v="1.1714500188827499"/>
    <x v="0"/>
    <n v="1"/>
    <n v="0"/>
    <n v="0"/>
  </r>
  <r>
    <d v="2025-09-02T00:00:00"/>
    <s v="13:00:00+00:00"/>
    <n v="1.1723500490188501"/>
    <n v="1.1725000143051101"/>
    <n v="1.16904997825622"/>
    <n v="1.16914999485015"/>
    <n v="1183"/>
    <n v="1.1710999965667701"/>
    <n v="1.0001659393310499E-4"/>
    <s v="UP"/>
    <n v="1.17445300102233"/>
    <n v="1.00016593933549E-5"/>
    <s v="UP"/>
    <n v="-3.3530044555662901E-3"/>
    <x v="0"/>
    <x v="385"/>
    <n v="11.3690403112513"/>
    <s v="UP"/>
    <n v="1.1686999797821001"/>
    <n v="1.17019999027252"/>
    <n v="1.1726499795913601"/>
    <n v="1.1723500490188501"/>
    <x v="0"/>
    <n v="0"/>
    <n v="0"/>
    <n v="0"/>
  </r>
  <r>
    <d v="2025-09-02T00:00:00"/>
    <s v="14:00:00+00:00"/>
    <n v="1.17365002632141"/>
    <n v="1.1756500005721999"/>
    <n v="1.1726499795913601"/>
    <n v="1.1726499795913601"/>
    <n v="5666"/>
    <n v="1.17160999774932"/>
    <n v="5.1000118255606298E-4"/>
    <s v="UP"/>
    <n v="1.1744950008392301"/>
    <n v="4.1999816894566703E-5"/>
    <s v="UP"/>
    <n v="-2.8850030899047999E-3"/>
    <x v="0"/>
    <x v="386"/>
    <n v="4.1348399820847899"/>
    <s v="UP"/>
    <n v="1.16904997825622"/>
    <n v="1.1686999797821001"/>
    <n v="1.1725000143051101"/>
    <n v="1.1726499795913601"/>
    <x v="0"/>
    <n v="0"/>
    <n v="0"/>
    <n v="0"/>
  </r>
  <r>
    <d v="2025-09-02T00:00:00"/>
    <s v="15:00:00+00:00"/>
    <n v="1.1726000308990401"/>
    <n v="1.17420005798339"/>
    <n v="1.1724499464035001"/>
    <n v="1.17365002632141"/>
    <n v="595"/>
    <n v="1.1720200061798001"/>
    <n v="4.1000843048100101E-4"/>
    <s v="UP"/>
    <n v="1.17451900243759"/>
    <n v="2.4001598358136499E-5"/>
    <s v="UP"/>
    <n v="-2.4989962577819302E-3"/>
    <x v="0"/>
    <x v="387"/>
    <n v="-3.01630526417566"/>
    <s v="DOWN"/>
    <n v="1.1726499795913601"/>
    <n v="1.16904997825622"/>
    <n v="1.1756500005721999"/>
    <n v="1.1725000143051101"/>
    <x v="0"/>
    <n v="0"/>
    <n v="0"/>
    <n v="0"/>
  </r>
  <r>
    <d v="2025-09-02T00:00:00"/>
    <s v="16:00:00+00:00"/>
    <n v="1.1717499494552599"/>
    <n v="1.1728500127792301"/>
    <n v="1.1717499494552599"/>
    <n v="1.1727499961853001"/>
    <n v="262"/>
    <n v="1.1719500064849799"/>
    <n v="-6.9999694824351895E-5"/>
    <s v="DOWN"/>
    <n v="1.1745200014114301"/>
    <n v="9.9897384653324608E-7"/>
    <s v="UP"/>
    <n v="-2.5699949264528202E-3"/>
    <x v="0"/>
    <x v="388"/>
    <n v="-2.3430355736733599"/>
    <s v="DOWN"/>
    <n v="1.1724499464035001"/>
    <n v="1.1726499795913601"/>
    <n v="1.17420005798339"/>
    <n v="1.1756500005721999"/>
    <x v="0"/>
    <n v="0"/>
    <n v="0"/>
    <n v="0"/>
  </r>
  <r>
    <d v="2025-09-02T00:00:00"/>
    <s v="17:00:00+00:00"/>
    <n v="1.1715500354766799"/>
    <n v="1.1721500158309901"/>
    <n v="1.1715500354766799"/>
    <n v="1.1717499494552599"/>
    <n v="3280"/>
    <n v="1.1723800182342501"/>
    <n v="4.3001174926771103E-4"/>
    <s v="UP"/>
    <n v="1.17452500104904"/>
    <n v="4.9996376036975897E-6"/>
    <s v="UP"/>
    <n v="-2.1449828147887999E-3"/>
    <x v="0"/>
    <x v="389"/>
    <n v="-0.55609871333641003"/>
    <s v="DOWN"/>
    <n v="1.1717499494552599"/>
    <n v="1.1724499464035001"/>
    <n v="1.1728500127792301"/>
    <n v="1.17420005798339"/>
    <x v="0"/>
    <n v="0"/>
    <n v="0"/>
    <n v="0"/>
  </r>
  <r>
    <d v="2025-09-02T00:00:00"/>
    <s v="18:00:00+00:00"/>
    <n v="1.1707500219345"/>
    <n v="1.1715500354766799"/>
    <n v="1.17034995555877"/>
    <n v="1.1714999675750699"/>
    <n v="2812"/>
    <n v="1.1720600128173799"/>
    <n v="-3.20005416870161E-4"/>
    <s v="DOWN"/>
    <n v="1.1745050024986201"/>
    <n v="-1.99985504150124E-5"/>
    <s v="DOWN"/>
    <n v="-2.44498968124395E-3"/>
    <x v="0"/>
    <x v="390"/>
    <n v="-2.2433271937471102"/>
    <s v="DOWN"/>
    <n v="1.1715500354766799"/>
    <n v="1.1717499494552599"/>
    <n v="1.1721500158309901"/>
    <n v="1.1728500127792301"/>
    <x v="0"/>
    <n v="0"/>
    <n v="0"/>
    <n v="0"/>
  </r>
  <r>
    <d v="2025-09-02T00:00:00"/>
    <s v="19:00:00+00:00"/>
    <n v="1.1714500188827499"/>
    <n v="1.1714500188827499"/>
    <n v="1.17060005664825"/>
    <n v="1.1707999706268299"/>
    <n v="407"/>
    <n v="1.17162001132965"/>
    <n v="-4.40001487731933E-4"/>
    <s v="DOWN"/>
    <n v="1.1744820022583"/>
    <n v="-2.30002403260876E-5"/>
    <s v="DOWN"/>
    <n v="-2.8619909286497999E-3"/>
    <x v="0"/>
    <x v="391"/>
    <n v="2.7518278940154701"/>
    <s v="UP"/>
    <n v="1.17034995555877"/>
    <n v="1.1715500354766799"/>
    <n v="1.1715500354766799"/>
    <n v="1.1721500158309901"/>
    <x v="0"/>
    <n v="0"/>
    <n v="0"/>
    <n v="0"/>
  </r>
  <r>
    <d v="2025-09-02T00:00:00"/>
    <s v="20:00:00+00:00"/>
    <n v="1.1713999509811399"/>
    <n v="1.1717499494552599"/>
    <n v="1.1712499856948799"/>
    <n v="1.1713999509811399"/>
    <n v="140"/>
    <n v="1.17137999534606"/>
    <n v="-2.40015983581587E-4"/>
    <s v="DOWN"/>
    <n v="1.17441600084304"/>
    <n v="-6.6001415252481198E-5"/>
    <s v="DOWN"/>
    <n v="-3.0360054969789099E-3"/>
    <x v="0"/>
    <x v="392"/>
    <n v="-0.15649848552985901"/>
    <s v="DOWN"/>
    <n v="1.17060005664825"/>
    <n v="1.17034995555877"/>
    <n v="1.1714500188827499"/>
    <n v="1.1715500354766799"/>
    <x v="0"/>
    <n v="0"/>
    <n v="0"/>
    <n v="0"/>
  </r>
  <r>
    <d v="2025-09-02T00:00:00"/>
    <s v="22:00:00+00:00"/>
    <n v="1.1710000038146899"/>
    <n v="1.1715500354766799"/>
    <n v="1.1710000038146899"/>
    <n v="1.1713500022888099"/>
    <n v="0"/>
    <n v="1.1712300062179499"/>
    <n v="-1.4998912811270399E-4"/>
    <s v="DOWN"/>
    <n v="1.17435400009155"/>
    <n v="-6.2000751495538896E-5"/>
    <s v="DOWN"/>
    <n v="-3.1239938735960699E-3"/>
    <x v="0"/>
    <x v="393"/>
    <n v="-1.30140648667686"/>
    <s v="DOWN"/>
    <n v="1.1712499856948799"/>
    <n v="1.17060005664825"/>
    <n v="1.1717499494552599"/>
    <n v="1.1714500188827499"/>
    <x v="0"/>
    <n v="0"/>
    <n v="0"/>
    <n v="0"/>
  </r>
  <r>
    <d v="2025-09-02T00:00:00"/>
    <s v="23:00:00+00:00"/>
    <n v="1.17065000534057"/>
    <n v="1.1710499525070099"/>
    <n v="1.17060005664825"/>
    <n v="1.1710499525070099"/>
    <n v="53"/>
    <n v="1.17105000019073"/>
    <n v="-1.8000602722167901E-4"/>
    <s v="DOWN"/>
    <n v="1.17427599906921"/>
    <n v="-7.8001022338902701E-5"/>
    <s v="DOWN"/>
    <n v="-3.2259988784788499E-3"/>
    <x v="0"/>
    <x v="394"/>
    <n v="-1.1572791723345099"/>
    <s v="DOWN"/>
    <n v="1.1710000038146899"/>
    <n v="1.1712499856948799"/>
    <n v="1.1715500354766799"/>
    <n v="1.1717499494552599"/>
    <x v="0"/>
    <n v="0"/>
    <n v="0"/>
    <n v="0"/>
  </r>
  <r>
    <d v="2025-09-03T00:00:00"/>
    <s v="00:00:00+00:00"/>
    <n v="1.17060005664825"/>
    <n v="1.1709500551223699"/>
    <n v="1.17019999027252"/>
    <n v="1.17050004005432"/>
    <n v="56"/>
    <n v="1.17102000713348"/>
    <n v="-2.9993057250932099E-5"/>
    <s v="DOWN"/>
    <n v="1.17418999910354"/>
    <n v="-8.59999656677157E-5"/>
    <s v="DOWN"/>
    <n v="-3.1699919700620598E-3"/>
    <x v="0"/>
    <x v="395"/>
    <n v="-0.172267159944269"/>
    <s v="DOWN"/>
    <n v="1.17060005664825"/>
    <n v="1.1710000038146899"/>
    <n v="1.1710499525070099"/>
    <n v="1.1715500354766799"/>
    <x v="0"/>
    <n v="0"/>
    <n v="0"/>
    <n v="0"/>
  </r>
  <r>
    <d v="2025-09-03T00:00:00"/>
    <s v="01:00:00+00:00"/>
    <n v="1.17025005817413"/>
    <n v="1.17069995403289"/>
    <n v="1.16989994049072"/>
    <n v="1.17069995403289"/>
    <n v="147"/>
    <n v="1.17078001499176"/>
    <n v="-2.3999214172376601E-4"/>
    <s v="DOWN"/>
    <n v="1.1741000008583"/>
    <n v="-8.9998245239142295E-5"/>
    <s v="DOWN"/>
    <n v="-3.31998586654669E-3"/>
    <x v="0"/>
    <x v="396"/>
    <n v="-1.2548377899637999"/>
    <s v="DOWN"/>
    <n v="1.17019999027252"/>
    <n v="1.17060005664825"/>
    <n v="1.1709500551223699"/>
    <n v="1.1710499525070099"/>
    <x v="0"/>
    <n v="0"/>
    <n v="0"/>
    <n v="0"/>
  </r>
  <r>
    <d v="2025-09-03T00:00:00"/>
    <s v="02:00:00+00:00"/>
    <n v="1.16999995708465"/>
    <n v="1.1707999706268299"/>
    <n v="1.16974997520446"/>
    <n v="1.17030000686645"/>
    <n v="91"/>
    <n v="1.1705000162124599"/>
    <n v="-2.7999877929674101E-4"/>
    <s v="DOWN"/>
    <n v="1.17400300025939"/>
    <n v="-9.7000598907381804E-5"/>
    <s v="DOWN"/>
    <n v="-3.5029840469360499E-3"/>
    <x v="0"/>
    <x v="397"/>
    <n v="-0.914491679159667"/>
    <s v="DOWN"/>
    <n v="1.16989994049072"/>
    <n v="1.17019999027252"/>
    <n v="1.17069995403289"/>
    <n v="1.1709500551223699"/>
    <x v="0"/>
    <n v="0"/>
    <n v="0"/>
    <n v="0"/>
  </r>
  <r>
    <d v="2025-09-03T00:00:00"/>
    <s v="03:00:00+00:00"/>
    <n v="1.16964995861053"/>
    <n v="1.17030000686645"/>
    <n v="1.16964995861053"/>
    <n v="1.17030000686645"/>
    <n v="56"/>
    <n v="1.1702300071716301"/>
    <n v="-2.7000904083251899E-4"/>
    <s v="DOWN"/>
    <n v="1.17386399984359"/>
    <n v="-1.3900041580217E-4"/>
    <s v="DOWN"/>
    <n v="-3.6339926719664E-3"/>
    <x v="0"/>
    <x v="398"/>
    <n v="-1.3012670718463499"/>
    <s v="DOWN"/>
    <n v="1.16974997520446"/>
    <n v="1.16989994049072"/>
    <n v="1.1707999706268299"/>
    <n v="1.17069995403289"/>
    <x v="0"/>
    <n v="0"/>
    <n v="0"/>
    <n v="0"/>
  </r>
  <r>
    <d v="2025-09-03T00:00:00"/>
    <s v="04:00:00+00:00"/>
    <n v="1.17044997215271"/>
    <n v="1.17044997215271"/>
    <n v="1.16989994049072"/>
    <n v="1.16989994049072"/>
    <n v="28"/>
    <n v="1.17019000053405"/>
    <n v="-4.0006637573419803E-5"/>
    <s v="DOWN"/>
    <n v="1.1737439990043601"/>
    <n v="-1.20000839233247E-4"/>
    <s v="DOWN"/>
    <n v="-3.5539984703065698E-3"/>
    <x v="0"/>
    <x v="399"/>
    <n v="4.7711255771854999"/>
    <s v="UP"/>
    <n v="1.16964995861053"/>
    <n v="1.16974997520446"/>
    <n v="1.17030000686645"/>
    <n v="1.1707999706268299"/>
    <x v="0"/>
    <n v="0"/>
    <n v="0"/>
    <n v="0"/>
  </r>
  <r>
    <d v="2025-09-03T00:00:00"/>
    <s v="05:00:00+00:00"/>
    <n v="1.17009997367858"/>
    <n v="1.1707500219345"/>
    <n v="1.16995000839233"/>
    <n v="1.17040002346038"/>
    <n v="72"/>
    <n v="1.17008998394012"/>
    <n v="-1.0001659393310499E-4"/>
    <s v="DOWN"/>
    <n v="1.17361499786376"/>
    <n v="-1.2900114059455299E-4"/>
    <s v="DOWN"/>
    <n v="-3.52501392364512E-3"/>
    <x v="0"/>
    <x v="400"/>
    <n v="-1.4660431006870001"/>
    <s v="DOWN"/>
    <n v="1.16989994049072"/>
    <n v="1.16964995861053"/>
    <n v="1.17044997215271"/>
    <n v="1.17030000686645"/>
    <x v="0"/>
    <n v="0"/>
    <n v="0"/>
    <n v="0"/>
  </r>
  <r>
    <d v="2025-09-03T00:00:00"/>
    <s v="06:00:00+00:00"/>
    <n v="1.17060005664825"/>
    <n v="1.1715500354766799"/>
    <n v="1.17019999027252"/>
    <n v="1.17019999027252"/>
    <n v="237"/>
    <n v="1.1701599836349399"/>
    <n v="6.9999694824351895E-5"/>
    <s v="UP"/>
    <n v="1.17350099802017"/>
    <n v="-1.1399984359750001E-4"/>
    <s v="DOWN"/>
    <n v="-3.3410143852232702E-3"/>
    <x v="0"/>
    <x v="401"/>
    <n v="3.0020461486680601"/>
    <s v="UP"/>
    <n v="1.16995000839233"/>
    <n v="1.16989994049072"/>
    <n v="1.1707500219345"/>
    <n v="1.17044997215271"/>
    <x v="0"/>
    <n v="0"/>
    <n v="0"/>
    <n v="0"/>
  </r>
  <r>
    <d v="2025-09-03T00:00:00"/>
    <s v="07:00:00+00:00"/>
    <n v="1.1707500219345"/>
    <n v="1.1708500385284399"/>
    <n v="1.1683000326156601"/>
    <n v="1.17065000534057"/>
    <n v="340"/>
    <n v="1.17030999660491"/>
    <n v="1.5001296997074699E-4"/>
    <s v="UP"/>
    <n v="1.1734059977531399"/>
    <n v="-9.5000267028799698E-5"/>
    <s v="DOWN"/>
    <n v="-3.0960011482237199E-3"/>
    <x v="0"/>
    <x v="402"/>
    <n v="0.90553568814514995"/>
    <s v="UP"/>
    <n v="1.17019999027252"/>
    <n v="1.16995000839233"/>
    <n v="1.1715500354766799"/>
    <n v="1.1707500219345"/>
    <x v="0"/>
    <n v="1"/>
    <n v="0"/>
    <n v="0"/>
  </r>
  <r>
    <d v="2025-09-03T00:00:00"/>
    <s v="08:00:00+00:00"/>
    <n v="1.1729500293731601"/>
    <n v="1.1729999780654901"/>
    <n v="1.1710000038146899"/>
    <n v="1.1710000038146899"/>
    <n v="264"/>
    <n v="1.1709700107574399"/>
    <n v="6.6001415252681095E-4"/>
    <s v="UP"/>
    <n v="1.1733649992942801"/>
    <n v="-4.0998458862295799E-5"/>
    <s v="DOWN"/>
    <n v="-2.39498853683461E-3"/>
    <x v="0"/>
    <x v="403"/>
    <n v="11.220456591377101"/>
    <s v="UP"/>
    <n v="1.1683000326156601"/>
    <n v="1.17019999027252"/>
    <n v="1.1708500385284399"/>
    <n v="1.1715500354766799"/>
    <x v="0"/>
    <n v="0"/>
    <n v="0"/>
    <n v="0"/>
  </r>
  <r>
    <d v="2025-09-03T00:00:00"/>
    <s v="09:00:00+00:00"/>
    <n v="1.1729500293731601"/>
    <n v="1.17375004291534"/>
    <n v="1.1726499795913601"/>
    <n v="1.1730500459671001"/>
    <n v="1019"/>
    <n v="1.17147002220153"/>
    <n v="5.0001144409184096E-4"/>
    <s v="UP"/>
    <n v="1.17331799983978"/>
    <n v="-4.6999454498264303E-5"/>
    <s v="DOWN"/>
    <n v="-1.84797763824451E-3"/>
    <x v="0"/>
    <x v="403"/>
    <n v="7.1054273576010003E-15"/>
    <s v="UP"/>
    <n v="1.1710000038146899"/>
    <n v="1.1683000326156601"/>
    <n v="1.1729999780654901"/>
    <n v="1.1708500385284399"/>
    <x v="0"/>
    <n v="0"/>
    <n v="0"/>
    <n v="0"/>
  </r>
  <r>
    <d v="2025-09-03T00:00:00"/>
    <s v="10:00:00+00:00"/>
    <n v="1.1717000007629299"/>
    <n v="1.1730500459671001"/>
    <n v="1.1713000535964899"/>
    <n v="1.1728500127792301"/>
    <n v="269"/>
    <n v="1.1717900276183999"/>
    <n v="3.2000541686993901E-4"/>
    <s v="UP"/>
    <n v="1.1732360005378699"/>
    <n v="-8.1999301910329296E-5"/>
    <s v="DOWN"/>
    <n v="-1.44597291946424E-3"/>
    <x v="0"/>
    <x v="404"/>
    <n v="-6.5920613344224597"/>
    <s v="DOWN"/>
    <n v="1.1726499795913601"/>
    <n v="1.1710000038146899"/>
    <n v="1.17375004291534"/>
    <n v="1.1729999780654901"/>
    <x v="0"/>
    <n v="0"/>
    <n v="0"/>
    <n v="0"/>
  </r>
  <r>
    <d v="2025-09-03T00:00:00"/>
    <s v="11:00:00+00:00"/>
    <n v="1.1723999977111801"/>
    <n v="1.1727000474929801"/>
    <n v="1.1713999509811399"/>
    <n v="1.1717499494552599"/>
    <n v="1481"/>
    <n v="1.1721500158309901"/>
    <n v="3.5998821258553798E-4"/>
    <s v="UP"/>
    <n v="1.17321500062942"/>
    <n v="-2.09999084472833E-5"/>
    <s v="DOWN"/>
    <n v="-1.0649847984314201E-3"/>
    <x v="0"/>
    <x v="405"/>
    <n v="3.3648434290388201"/>
    <s v="UP"/>
    <n v="1.1713000535964899"/>
    <n v="1.1726499795913601"/>
    <n v="1.1730500459671001"/>
    <n v="1.17375004291534"/>
    <x v="0"/>
    <n v="0"/>
    <n v="0"/>
    <n v="0"/>
  </r>
  <r>
    <d v="2025-09-03T00:00:00"/>
    <s v="12:00:00+00:00"/>
    <n v="1.1720999479293801"/>
    <n v="1.1732000112533501"/>
    <n v="1.1718000173568699"/>
    <n v="1.1725000143051101"/>
    <n v="305"/>
    <n v="1.1724200010299599"/>
    <n v="2.6998519897469798E-4"/>
    <s v="UP"/>
    <n v="1.17318500041961"/>
    <n v="-3.0000209808367298E-5"/>
    <s v="DOWN"/>
    <n v="-7.6499938964835702E-4"/>
    <x v="0"/>
    <x v="406"/>
    <n v="-1.5663876400127901"/>
    <s v="DOWN"/>
    <n v="1.1713999509811399"/>
    <n v="1.1713000535964899"/>
    <n v="1.1727000474929801"/>
    <n v="1.1730500459671001"/>
    <x v="0"/>
    <n v="0"/>
    <n v="0"/>
    <n v="0"/>
  </r>
  <r>
    <d v="2025-09-03T00:00:00"/>
    <s v="13:00:00+00:00"/>
    <n v="1.1723500490188501"/>
    <n v="1.1727000474929801"/>
    <n v="1.1711499691009499"/>
    <n v="1.1722500324249201"/>
    <n v="14404"/>
    <n v="1.1723000049590999"/>
    <n v="-1.19996070861994E-4"/>
    <s v="DOWN"/>
    <n v="1.1731520009040799"/>
    <n v="-3.2999515533482698E-5"/>
    <s v="DOWN"/>
    <n v="-8.5199594497686795E-4"/>
    <x v="0"/>
    <x v="407"/>
    <n v="1.2709094763180599"/>
    <s v="UP"/>
    <n v="1.1718000173568699"/>
    <n v="1.1713999509811399"/>
    <n v="1.1732000112533501"/>
    <n v="1.1727000474929801"/>
    <x v="0"/>
    <n v="0"/>
    <n v="0"/>
    <n v="0"/>
  </r>
  <r>
    <d v="2025-09-03T00:00:00"/>
    <s v="14:00:00+00:00"/>
    <n v="1.17369997501373"/>
    <n v="1.1752500534057599"/>
    <n v="1.1727499961853001"/>
    <n v="1.1727499961853001"/>
    <n v="5597"/>
    <n v="1.17244999408721"/>
    <n v="1.4998912811292601E-4"/>
    <s v="UP"/>
    <n v="1.1731450009346001"/>
    <n v="-6.9999694825018102E-6"/>
    <s v="DOWN"/>
    <n v="-6.9500684738144005E-4"/>
    <x v="0"/>
    <x v="408"/>
    <n v="6.2508042339810999"/>
    <s v="UP"/>
    <n v="1.1711499691009499"/>
    <n v="1.1718000173568699"/>
    <n v="1.1727000474929801"/>
    <n v="1.1732000112533501"/>
    <x v="0"/>
    <n v="0"/>
    <n v="0"/>
    <n v="0"/>
  </r>
  <r>
    <d v="2025-09-03T00:00:00"/>
    <s v="15:00:00+00:00"/>
    <n v="1.17470002174377"/>
    <n v="1.1755000352859399"/>
    <n v="1.17359995841979"/>
    <n v="1.17365002632141"/>
    <n v="4286"/>
    <n v="1.17304999828338"/>
    <n v="6.0000419616690304E-4"/>
    <s v="UP"/>
    <n v="1.17315400123596"/>
    <n v="9.0003013610839793E-6"/>
    <s v="UP"/>
    <n v="-1.04002952575621E-4"/>
    <x v="0"/>
    <x v="409"/>
    <n v="3.9215332001100598"/>
    <s v="UP"/>
    <n v="1.1727499961853001"/>
    <n v="1.1711499691009499"/>
    <n v="1.1752500534057599"/>
    <n v="1.1727000474929801"/>
    <x v="1"/>
    <n v="0"/>
    <n v="0"/>
    <n v="0"/>
  </r>
  <r>
    <d v="2025-09-03T00:00:00"/>
    <s v="16:00:00+00:00"/>
    <n v="1.17484998703002"/>
    <n v="1.17495000362396"/>
    <n v="1.17400002479553"/>
    <n v="1.17470002174377"/>
    <n v="174"/>
    <n v="1.17353999614715"/>
    <n v="4.8999786376957501E-4"/>
    <s v="UP"/>
    <n v="1.1731610012054401"/>
    <n v="6.9999694825018102E-6"/>
    <s v="UP"/>
    <n v="3.7899494171145199E-4"/>
    <x v="1"/>
    <x v="410"/>
    <n v="0.56461884696114595"/>
    <s v="UP"/>
    <n v="1.17359995841979"/>
    <n v="1.1727499961853001"/>
    <n v="1.1755000352859399"/>
    <n v="1.1752500534057599"/>
    <x v="0"/>
    <n v="0"/>
    <n v="0"/>
    <n v="0"/>
  </r>
  <r>
    <d v="2025-09-03T00:00:00"/>
    <s v="17:00:00+00:00"/>
    <n v="1.17340004444122"/>
    <n v="1.17505002021789"/>
    <n v="1.1732000112533501"/>
    <n v="1.17490005493164"/>
    <n v="3519"/>
    <n v="1.1738000154495201"/>
    <n v="2.6001930236807497E-4"/>
    <s v="UP"/>
    <n v="1.1731230020523"/>
    <n v="-3.7999153137180298E-5"/>
    <s v="DOWN"/>
    <n v="6.7701339721670795E-4"/>
    <x v="1"/>
    <x v="411"/>
    <n v="-8.5656820401325593"/>
    <s v="DOWN"/>
    <n v="1.17400002479553"/>
    <n v="1.17359995841979"/>
    <n v="1.17495000362396"/>
    <n v="1.1755000352859399"/>
    <x v="0"/>
    <n v="0"/>
    <n v="0"/>
    <n v="0"/>
  </r>
  <r>
    <d v="2025-09-03T00:00:00"/>
    <s v="18:00:00+00:00"/>
    <n v="1.17344999313354"/>
    <n v="1.17400002479553"/>
    <n v="1.1730999946594201"/>
    <n v="1.17334997653961"/>
    <n v="731"/>
    <n v="1.17402000427246"/>
    <n v="2.1998882293705599E-4"/>
    <s v="UP"/>
    <n v="1.1730930018424901"/>
    <n v="-3.0000209808367298E-5"/>
    <s v="DOWN"/>
    <n v="9.2700242996213102E-4"/>
    <x v="1"/>
    <x v="412"/>
    <n v="0.227638694878081"/>
    <s v="UP"/>
    <n v="1.1732000112533501"/>
    <n v="1.17400002479553"/>
    <n v="1.17505002021789"/>
    <n v="1.17495000362396"/>
    <x v="0"/>
    <n v="0"/>
    <n v="0"/>
    <n v="0"/>
  </r>
  <r>
    <d v="2025-09-03T00:00:00"/>
    <s v="19:00:00+00:00"/>
    <n v="1.1732000112533501"/>
    <n v="1.17349994182586"/>
    <n v="1.1728999614715501"/>
    <n v="1.17340004444122"/>
    <n v="120"/>
    <n v="1.1739200115203801"/>
    <n v="-9.9992752075062004E-5"/>
    <s v="DOWN"/>
    <n v="1.1730560016631999"/>
    <n v="-3.7000179290647099E-5"/>
    <s v="DOWN"/>
    <n v="8.6400985717771596E-4"/>
    <x v="1"/>
    <x v="413"/>
    <n v="-1.44015824473119"/>
    <s v="DOWN"/>
    <n v="1.1730999946594201"/>
    <n v="1.1732000112533501"/>
    <n v="1.17400002479553"/>
    <n v="1.17505002021789"/>
    <x v="0"/>
    <n v="0"/>
    <n v="0"/>
    <n v="0"/>
  </r>
  <r>
    <d v="2025-09-03T00:00:00"/>
    <s v="20:00:00+00:00"/>
    <n v="1.1732499599456701"/>
    <n v="1.17365002632141"/>
    <n v="1.1728999614715501"/>
    <n v="1.1730999946594201"/>
    <n v="57"/>
    <n v="1.1736299991607599"/>
    <n v="-2.9001235961922901E-4"/>
    <s v="DOWN"/>
    <n v="1.1730310010909999"/>
    <n v="-2.5000572204669698E-5"/>
    <s v="DOWN"/>
    <n v="5.9899806976315695E-4"/>
    <x v="1"/>
    <x v="414"/>
    <n v="0.26244101201301301"/>
    <s v="UP"/>
    <n v="1.1728999614715501"/>
    <n v="1.1730999946594201"/>
    <n v="1.17349994182586"/>
    <n v="1.17400002479553"/>
    <x v="0"/>
    <n v="0"/>
    <n v="0"/>
    <n v="0"/>
  </r>
  <r>
    <d v="2025-09-03T00:00:00"/>
    <s v="22:00:00+00:00"/>
    <n v="1.1731499433517401"/>
    <n v="1.1732000112533501"/>
    <n v="1.1730500459671001"/>
    <n v="1.1731499433517401"/>
    <n v="0"/>
    <n v="1.17328999042511"/>
    <n v="-3.4000873565664898E-4"/>
    <s v="DOWN"/>
    <n v="1.17301399946212"/>
    <n v="-1.7001628875856699E-5"/>
    <s v="DOWN"/>
    <n v="2.7599096298236398E-4"/>
    <x v="1"/>
    <x v="415"/>
    <n v="-0.642419952169895"/>
    <s v="DOWN"/>
    <n v="1.1728999614715501"/>
    <n v="1.1728999614715501"/>
    <n v="1.17365002632141"/>
    <n v="1.17349994182586"/>
    <x v="0"/>
    <n v="0"/>
    <n v="0"/>
    <n v="0"/>
  </r>
  <r>
    <d v="2025-09-03T00:00:00"/>
    <s v="23:00:00+00:00"/>
    <n v="1.1732000112533501"/>
    <n v="1.17334997653961"/>
    <n v="1.1727999448776201"/>
    <n v="1.1730999946594201"/>
    <n v="37"/>
    <n v="1.1732499837875301"/>
    <n v="-4.0006637573419803E-5"/>
    <s v="DOWN"/>
    <n v="1.1730110001564"/>
    <n v="-2.9993057248933701E-6"/>
    <s v="DOWN"/>
    <n v="2.3898363113383699E-4"/>
    <x v="1"/>
    <x v="416"/>
    <n v="0.301943698327512"/>
    <s v="UP"/>
    <n v="1.1730500459671001"/>
    <n v="1.1728999614715501"/>
    <n v="1.1732000112533501"/>
    <n v="1.17365002632141"/>
    <x v="0"/>
    <n v="0"/>
    <n v="0"/>
    <n v="0"/>
  </r>
  <r>
    <d v="2025-09-04T00:00:00"/>
    <s v="00:00:00+00:00"/>
    <n v="1.1729500293731601"/>
    <n v="1.1732499599456701"/>
    <n v="1.1726000308990401"/>
    <n v="1.1732000112533501"/>
    <n v="62"/>
    <n v="1.1731499910354599"/>
    <n v="-9.9992752075062004E-5"/>
    <s v="DOWN"/>
    <n v="1.1729820013046199"/>
    <n v="-2.8998851776318399E-5"/>
    <s v="DOWN"/>
    <n v="1.67989730835094E-4"/>
    <x v="1"/>
    <x v="417"/>
    <n v="-1.7771479927217699"/>
    <s v="DOWN"/>
    <n v="1.1727999448776201"/>
    <n v="1.1730500459671001"/>
    <n v="1.17334997653961"/>
    <n v="1.1732000112533501"/>
    <x v="0"/>
    <n v="0"/>
    <n v="0"/>
    <n v="0"/>
  </r>
  <r>
    <d v="2025-09-04T00:00:00"/>
    <s v="01:00:00+00:00"/>
    <n v="1.1728500127792301"/>
    <n v="1.17394995689392"/>
    <n v="1.1722999811172401"/>
    <n v="1.1730500459671001"/>
    <n v="97"/>
    <n v="1.17307999134063"/>
    <n v="-6.9999694824351895E-5"/>
    <s v="DOWN"/>
    <n v="1.1728780007362301"/>
    <n v="-1.0400056838988301E-4"/>
    <s v="DOWN"/>
    <n v="2.0199060440062499E-4"/>
    <x v="1"/>
    <x v="418"/>
    <n v="-0.72968557419527202"/>
    <s v="DOWN"/>
    <n v="1.1726000308990401"/>
    <n v="1.1727999448776201"/>
    <n v="1.1732499599456701"/>
    <n v="1.17334997653961"/>
    <x v="1"/>
    <n v="0"/>
    <n v="0"/>
    <n v="0"/>
  </r>
  <r>
    <d v="2025-09-04T00:00:00"/>
    <s v="02:00:00+00:00"/>
    <n v="1.1723500490188501"/>
    <n v="1.1729500293731601"/>
    <n v="1.1721500158309901"/>
    <n v="1.1729500293731601"/>
    <n v="71"/>
    <n v="1.1729000091552699"/>
    <n v="-1.7998218536363601E-4"/>
    <s v="DOWN"/>
    <n v="1.1727830028533901"/>
    <n v="-9.4997882842839902E-5"/>
    <s v="DOWN"/>
    <n v="1.1700630187982899E-4"/>
    <x v="1"/>
    <x v="419"/>
    <n v="-3.5979709251579299"/>
    <s v="DOWN"/>
    <n v="1.1722999811172401"/>
    <n v="1.1726000308990401"/>
    <n v="1.17394995689392"/>
    <n v="1.1732499599456701"/>
    <x v="0"/>
    <n v="0"/>
    <n v="0"/>
    <n v="0"/>
  </r>
  <r>
    <d v="2025-09-04T00:00:00"/>
    <s v="03:00:00+00:00"/>
    <n v="1.1723999977111801"/>
    <n v="1.1726000308990401"/>
    <n v="1.1720999479293801"/>
    <n v="1.1723999977111801"/>
    <n v="558"/>
    <n v="1.1727500200271599"/>
    <n v="-1.4998912811292601E-4"/>
    <s v="DOWN"/>
    <n v="1.17267600297927"/>
    <n v="-1.0699987411499899E-4"/>
    <s v="DOWN"/>
    <n v="7.4017047881902402E-5"/>
    <x v="1"/>
    <x v="420"/>
    <n v="0.39993132874396697"/>
    <s v="UP"/>
    <n v="1.1721500158309901"/>
    <n v="1.1722999811172401"/>
    <n v="1.1729500293731601"/>
    <n v="1.17394995689392"/>
    <x v="0"/>
    <n v="0"/>
    <n v="0"/>
    <n v="0"/>
  </r>
  <r>
    <d v="2025-09-04T00:00:00"/>
    <s v="04:00:00+00:00"/>
    <n v="1.1721999645233101"/>
    <n v="1.1725499629974301"/>
    <n v="1.1721999645233101"/>
    <n v="1.1725499629974301"/>
    <n v="27"/>
    <n v="1.1725500106811499"/>
    <n v="-2.0000934600816701E-4"/>
    <s v="DOWN"/>
    <n v="1.1725760030746399"/>
    <n v="-9.9999904632719295E-5"/>
    <s v="DOWN"/>
    <n v="-2.5992393493545701E-5"/>
    <x v="0"/>
    <x v="421"/>
    <n v="-1.50341169929001"/>
    <s v="DOWN"/>
    <n v="1.1720999479293801"/>
    <n v="1.1721500158309901"/>
    <n v="1.1726000308990401"/>
    <n v="1.1729500293731601"/>
    <x v="0"/>
    <n v="0"/>
    <n v="0"/>
    <n v="0"/>
  </r>
  <r>
    <d v="2025-09-04T00:00:00"/>
    <s v="05:00:00+00:00"/>
    <n v="1.1723500490188501"/>
    <n v="1.1725000143051101"/>
    <n v="1.1719499826431199"/>
    <n v="1.1722500324249201"/>
    <n v="244"/>
    <n v="1.17243001461029"/>
    <n v="-1.19996070861772E-4"/>
    <s v="DOWN"/>
    <n v="1.17247500419616"/>
    <n v="-1.0099887847903E-4"/>
    <s v="DOWN"/>
    <n v="-4.4989585876287201E-5"/>
    <x v="0"/>
    <x v="422"/>
    <n v="1.3435045943032899"/>
    <s v="UP"/>
    <n v="1.1721999645233101"/>
    <n v="1.1720999479293801"/>
    <n v="1.1725499629974301"/>
    <n v="1.1726000308990401"/>
    <x v="0"/>
    <n v="0"/>
    <n v="0"/>
    <n v="0"/>
  </r>
  <r>
    <d v="2025-09-04T00:00:00"/>
    <s v="06:00:00+00:00"/>
    <n v="1.1721999645233101"/>
    <n v="1.1729999780654901"/>
    <n v="1.1721999645233101"/>
    <n v="1.1726499795913601"/>
    <n v="2564"/>
    <n v="1.1723000049590999"/>
    <n v="-1.3000965118425899E-4"/>
    <s v="DOWN"/>
    <n v="1.17237200260162"/>
    <n v="-1.0300159454335E-4"/>
    <s v="DOWN"/>
    <n v="-7.1997642517196398E-5"/>
    <x v="0"/>
    <x v="423"/>
    <n v="-1.2381405757103101"/>
    <s v="DOWN"/>
    <n v="1.1719499826431199"/>
    <n v="1.1721999645233101"/>
    <n v="1.1725000143051101"/>
    <n v="1.1725499629974301"/>
    <x v="0"/>
    <n v="0"/>
    <n v="0"/>
    <n v="0"/>
  </r>
  <r>
    <d v="2025-09-04T00:00:00"/>
    <s v="07:00:00+00:00"/>
    <n v="1.1719499826431199"/>
    <n v="1.1727999448776201"/>
    <n v="1.1715999841689999"/>
    <n v="1.1722500324249201"/>
    <n v="199"/>
    <n v="1.17221999168396"/>
    <n v="-8.0013275146395503E-5"/>
    <s v="DOWN"/>
    <n v="1.17228800296783"/>
    <n v="-8.39996337891335E-5"/>
    <s v="DOWN"/>
    <n v="-6.8011283874458401E-5"/>
    <x v="0"/>
    <x v="424"/>
    <n v="-2.0660753013547501"/>
    <s v="DOWN"/>
    <n v="1.1721999645233101"/>
    <n v="1.1719499826431199"/>
    <n v="1.1729999780654901"/>
    <n v="1.1725000143051101"/>
    <x v="0"/>
    <n v="0"/>
    <n v="0"/>
    <n v="0"/>
  </r>
  <r>
    <d v="2025-09-04T00:00:00"/>
    <s v="08:00:00+00:00"/>
    <n v="1.1726000308990401"/>
    <n v="1.1729500293731601"/>
    <n v="1.1719499826431199"/>
    <n v="1.1720999479293801"/>
    <n v="377"/>
    <n v="1.1722599983215301"/>
    <n v="4.0006637573197697E-5"/>
    <s v="UP"/>
    <n v="1.1722060036659201"/>
    <n v="-8.1999301910329296E-5"/>
    <s v="DOWN"/>
    <n v="5.3994655609068599E-5"/>
    <x v="1"/>
    <x v="425"/>
    <n v="6.2265021626959003"/>
    <s v="UP"/>
    <n v="1.1715999841689999"/>
    <n v="1.1721999645233101"/>
    <n v="1.1727999448776201"/>
    <n v="1.1729999780654901"/>
    <x v="0"/>
    <n v="0"/>
    <n v="0"/>
    <n v="0"/>
  </r>
  <r>
    <d v="2025-09-04T00:00:00"/>
    <s v="09:00:00+00:00"/>
    <n v="1.1712499856948799"/>
    <n v="1.1728500127792301"/>
    <n v="1.1710000038146899"/>
    <n v="1.1728500127792301"/>
    <n v="263"/>
    <n v="1.1720700025558399"/>
    <n v="-1.8999576568590101E-4"/>
    <s v="DOWN"/>
    <n v="1.17209300279617"/>
    <n v="-1.13000869750967E-4"/>
    <s v="DOWN"/>
    <n v="-2.3000240325865501E-5"/>
    <x v="0"/>
    <x v="426"/>
    <n v="-10.0357348239388"/>
    <s v="DOWN"/>
    <n v="1.1719499826431199"/>
    <n v="1.1715999841689999"/>
    <n v="1.1729500293731601"/>
    <n v="1.1727999448776201"/>
    <x v="0"/>
    <n v="0"/>
    <n v="0"/>
    <n v="0"/>
  </r>
  <r>
    <d v="2025-09-04T00:00:00"/>
    <s v="10:00:00+00:00"/>
    <n v="1.1721999645233101"/>
    <n v="1.1728999614715501"/>
    <n v="1.1713000535964899"/>
    <n v="1.1713999509811399"/>
    <n v="611"/>
    <n v="1.1720399856567301"/>
    <n v="-3.0016899108975499E-5"/>
    <s v="DOWN"/>
    <n v="1.1719820022583001"/>
    <n v="-1.1100053787238501E-4"/>
    <s v="DOWN"/>
    <n v="5.7983398437544402E-5"/>
    <x v="1"/>
    <x v="427"/>
    <n v="7.8394706104878198"/>
    <s v="UP"/>
    <n v="1.1710000038146899"/>
    <n v="1.1719499826431199"/>
    <n v="1.1728500127792301"/>
    <n v="1.1729500293731601"/>
    <x v="0"/>
    <n v="0"/>
    <n v="0"/>
    <n v="0"/>
  </r>
  <r>
    <d v="2025-09-04T00:00:00"/>
    <s v="11:00:00+00:00"/>
    <n v="1.1713000535964899"/>
    <n v="1.1722500324249201"/>
    <n v="1.1710000038146899"/>
    <n v="1.1722500324249201"/>
    <n v="523"/>
    <n v="1.17186000347137"/>
    <n v="-1.79982185363858E-4"/>
    <s v="DOWN"/>
    <n v="1.1719700026512101"/>
    <n v="-1.1999607086199401E-5"/>
    <s v="DOWN"/>
    <n v="-1.0999917984011399E-4"/>
    <x v="0"/>
    <x v="428"/>
    <n v="-5.68433299030466"/>
    <s v="DOWN"/>
    <n v="1.1713000535964899"/>
    <n v="1.1710000038146899"/>
    <n v="1.1728999614715501"/>
    <n v="1.1728500127792301"/>
    <x v="0"/>
    <n v="0"/>
    <n v="0"/>
    <n v="0"/>
  </r>
  <r>
    <d v="2025-09-04T00:00:00"/>
    <s v="12:00:00+00:00"/>
    <n v="1.1716500520706099"/>
    <n v="1.1727000474929801"/>
    <n v="1.17009997367858"/>
    <n v="1.1714999675750699"/>
    <n v="3992"/>
    <n v="1.1718000173568699"/>
    <n v="-5.99861145018643E-5"/>
    <s v="DOWN"/>
    <n v="1.17196600437164"/>
    <n v="-3.99827957142662E-6"/>
    <s v="DOWN"/>
    <n v="-1.65987014770552E-4"/>
    <x v="0"/>
    <x v="429"/>
    <n v="2.71323001851062"/>
    <s v="UP"/>
    <n v="1.1710000038146899"/>
    <n v="1.1713000535964899"/>
    <n v="1.1722500324249201"/>
    <n v="1.1728999614715501"/>
    <x v="0"/>
    <n v="1"/>
    <n v="0"/>
    <n v="0"/>
  </r>
  <r>
    <d v="2025-09-04T00:00:00"/>
    <s v="13:00:00+00:00"/>
    <n v="1.1720499992370601"/>
    <n v="1.1725499629974301"/>
    <n v="1.1707999706268299"/>
    <n v="1.1714999675750699"/>
    <n v="16567"/>
    <n v="1.1716900110244699"/>
    <n v="-1.10006332397549E-4"/>
    <s v="DOWN"/>
    <n v="1.17198500394821"/>
    <n v="1.8999576568479099E-5"/>
    <s v="UP"/>
    <n v="-2.9499292373658098E-4"/>
    <x v="0"/>
    <x v="430"/>
    <n v="3.0070989617552901"/>
    <s v="UP"/>
    <n v="1.17009997367858"/>
    <n v="1.1710000038146899"/>
    <n v="1.1727000474929801"/>
    <n v="1.1722500324249201"/>
    <x v="0"/>
    <n v="0"/>
    <n v="0"/>
    <n v="0"/>
  </r>
  <r>
    <d v="2025-09-04T00:00:00"/>
    <s v="14:00:00+00:00"/>
    <n v="1.17050004005432"/>
    <n v="1.1721999645233101"/>
    <n v="1.17019999027252"/>
    <n v="1.1713999509811399"/>
    <n v="1112"/>
    <n v="1.1715400218963601"/>
    <n v="-1.4998912811270399E-4"/>
    <s v="DOWN"/>
    <n v="1.1719840049743599"/>
    <n v="-9.989738463112019E-7"/>
    <s v="DOWN"/>
    <n v="-4.4398307800297399E-4"/>
    <x v="0"/>
    <x v="431"/>
    <n v="-8.9686504310214996"/>
    <s v="DOWN"/>
    <n v="1.1707999706268299"/>
    <n v="1.17009997367858"/>
    <n v="1.1725499629974301"/>
    <n v="1.1727000474929801"/>
    <x v="0"/>
    <n v="0"/>
    <n v="0"/>
    <n v="0"/>
  </r>
  <r>
    <d v="2025-09-04T00:00:00"/>
    <s v="15:00:00+00:00"/>
    <n v="1.1718000173568699"/>
    <n v="1.1720000505447301"/>
    <n v="1.17019999027252"/>
    <n v="1.17050004005432"/>
    <n v="1040"/>
    <n v="1.17146003246307"/>
    <n v="-7.9989433288574205E-5"/>
    <s v="DOWN"/>
    <n v="1.1719780063629099"/>
    <n v="-5.9986114502308396E-6"/>
    <s v="DOWN"/>
    <n v="-5.1797389984131704E-4"/>
    <x v="0"/>
    <x v="432"/>
    <n v="8.7549800799797808"/>
    <s v="UP"/>
    <n v="1.17019999027252"/>
    <n v="1.1707999706268299"/>
    <n v="1.1721999645233101"/>
    <n v="1.1725499629974301"/>
    <x v="0"/>
    <n v="0"/>
    <n v="0"/>
    <n v="0"/>
  </r>
  <r>
    <d v="2025-09-04T00:00:00"/>
    <s v="16:00:00+00:00"/>
    <n v="1.1709500551223699"/>
    <n v="1.1717000007629299"/>
    <n v="1.17054998874664"/>
    <n v="1.1717000007629299"/>
    <n v="224"/>
    <n v="1.1713900327682401"/>
    <n v="-6.9999694824129905E-5"/>
    <s v="DOWN"/>
    <n v="1.1720090079307499"/>
    <n v="3.1001567840638297E-5"/>
    <s v="UP"/>
    <n v="-6.1897516250608499E-4"/>
    <x v="0"/>
    <x v="433"/>
    <n v="-4.4135793070085896"/>
    <s v="DOWN"/>
    <n v="1.17019999027252"/>
    <n v="1.17019999027252"/>
    <n v="1.1720000505447301"/>
    <n v="1.1721999645233101"/>
    <x v="0"/>
    <n v="0"/>
    <n v="0"/>
    <n v="0"/>
  </r>
  <r>
    <d v="2025-09-04T00:00:00"/>
    <s v="17:00:00+00:00"/>
    <n v="1.1707500219345"/>
    <n v="1.1710000038146899"/>
    <n v="1.17050004005432"/>
    <n v="1.1710000038146899"/>
    <n v="265"/>
    <n v="1.1712100267410199"/>
    <n v="-1.8000602722167901E-4"/>
    <s v="DOWN"/>
    <n v="1.1719770073890601"/>
    <n v="-3.2000541687171503E-5"/>
    <s v="DOWN"/>
    <n v="-7.6698064804059298E-4"/>
    <x v="0"/>
    <x v="434"/>
    <n v="-0.99248806835333103"/>
    <s v="DOWN"/>
    <n v="1.17054998874664"/>
    <n v="1.17019999027252"/>
    <n v="1.1717000007629299"/>
    <n v="1.1720000505447301"/>
    <x v="0"/>
    <n v="0"/>
    <n v="0"/>
    <n v="0"/>
  </r>
  <r>
    <d v="2025-09-04T00:00:00"/>
    <s v="18:00:00+00:00"/>
    <n v="1.1713500022888099"/>
    <n v="1.1717499494552599"/>
    <n v="1.1707500219345"/>
    <n v="1.1707999706268299"/>
    <n v="811"/>
    <n v="1.1710700273513699"/>
    <n v="-1.3999938964848099E-4"/>
    <s v="DOWN"/>
    <n v="1.1719310069084099"/>
    <n v="-4.6000480651731097E-5"/>
    <s v="DOWN"/>
    <n v="-8.6097955703734398E-4"/>
    <x v="0"/>
    <x v="435"/>
    <n v="3.9409130356808202"/>
    <s v="UP"/>
    <n v="1.17050004005432"/>
    <n v="1.17054998874664"/>
    <n v="1.1710000038146899"/>
    <n v="1.1717000007629299"/>
    <x v="0"/>
    <n v="0"/>
    <n v="0"/>
    <n v="0"/>
  </r>
  <r>
    <d v="2025-09-04T00:00:00"/>
    <s v="19:00:00+00:00"/>
    <n v="1.1720999479293801"/>
    <n v="1.1721999645233101"/>
    <n v="1.1714999675750699"/>
    <n v="1.1715500354766799"/>
    <n v="185"/>
    <n v="1.17139000892639"/>
    <n v="3.19981575012118E-4"/>
    <s v="UP"/>
    <n v="1.1719210052490201"/>
    <n v="-1.00016593933549E-5"/>
    <s v="DOWN"/>
    <n v="-5.3099632263187103E-4"/>
    <x v="0"/>
    <x v="436"/>
    <n v="4.5233847402291198"/>
    <s v="UP"/>
    <n v="1.1707500219345"/>
    <n v="1.17050004005432"/>
    <n v="1.1717499494552599"/>
    <n v="1.1710000038146899"/>
    <x v="0"/>
    <n v="0"/>
    <n v="0"/>
    <n v="0"/>
  </r>
  <r>
    <d v="2025-09-04T00:00:00"/>
    <s v="20:00:00+00:00"/>
    <n v="1.1719499826431199"/>
    <n v="1.1722500324249201"/>
    <n v="1.1719000339507999"/>
    <n v="1.1720999479293801"/>
    <n v="68"/>
    <n v="1.17142000198364"/>
    <n v="2.9993057250932099E-5"/>
    <s v="UP"/>
    <n v="1.1719250059127799"/>
    <n v="4.0006637573863904E-6"/>
    <s v="UP"/>
    <n v="-5.0500392913832505E-4"/>
    <x v="0"/>
    <x v="437"/>
    <n v="-0.91182835439848697"/>
    <s v="DOWN"/>
    <n v="1.1714999675750699"/>
    <n v="1.1707500219345"/>
    <n v="1.1721999645233101"/>
    <n v="1.1717499494552599"/>
    <x v="0"/>
    <n v="0"/>
    <n v="0"/>
    <n v="0"/>
  </r>
  <r>
    <d v="2025-09-04T00:00:00"/>
    <s v="22:00:00+00:00"/>
    <n v="1.1719499826431199"/>
    <n v="1.1721999645233101"/>
    <n v="1.1718499660491899"/>
    <n v="1.1721999645233101"/>
    <n v="0"/>
    <n v="1.1716199874877899"/>
    <n v="1.9998550415056799E-4"/>
    <s v="UP"/>
    <n v="1.1719330048561001"/>
    <n v="7.9989433288130096E-6"/>
    <s v="UP"/>
    <n v="-3.1301736831657002E-4"/>
    <x v="0"/>
    <x v="437"/>
    <n v="0"/>
    <s v="DOWN"/>
    <n v="1.1719000339507999"/>
    <n v="1.1714999675750699"/>
    <n v="1.1722500324249201"/>
    <n v="1.1721999645233101"/>
    <x v="0"/>
    <n v="0"/>
    <n v="0"/>
    <n v="0"/>
  </r>
  <r>
    <d v="2025-09-04T00:00:00"/>
    <s v="23:00:00+00:00"/>
    <n v="1.1726000308990401"/>
    <n v="1.1727000474929801"/>
    <n v="1.1719000339507999"/>
    <n v="1.1719000339507999"/>
    <n v="100"/>
    <n v="1.1719899892807"/>
    <n v="3.7000179290758102E-4"/>
    <s v="UP"/>
    <n v="1.1719700050354001"/>
    <n v="3.7000179290869103E-5"/>
    <s v="UP"/>
    <n v="1.99842453001419E-5"/>
    <x v="1"/>
    <x v="438"/>
    <n v="4.11510660862705"/>
    <s v="UP"/>
    <n v="1.1718499660491899"/>
    <n v="1.1719000339507999"/>
    <n v="1.1721999645233101"/>
    <n v="1.1722500324249201"/>
    <x v="0"/>
    <n v="0"/>
    <n v="0"/>
    <n v="0"/>
  </r>
  <r>
    <d v="2025-09-05T00:00:00"/>
    <s v="00:00:00+00:00"/>
    <n v="1.1729500293731601"/>
    <n v="1.1729999780654901"/>
    <n v="1.1722999811172401"/>
    <n v="1.1727000474929801"/>
    <n v="140"/>
    <n v="1.1723099946975699"/>
    <n v="3.20005416870161E-4"/>
    <s v="UP"/>
    <n v="1.1720000052452"/>
    <n v="3.0000209808145301E-5"/>
    <s v="UP"/>
    <n v="3.0998945236215798E-4"/>
    <x v="1"/>
    <x v="439"/>
    <n v="2.0894329981167301"/>
    <s v="UP"/>
    <n v="1.1719000339507999"/>
    <n v="1.1718499660491899"/>
    <n v="1.1727000474929801"/>
    <n v="1.1721999645233101"/>
    <x v="0"/>
    <n v="1"/>
    <n v="0"/>
    <n v="0"/>
  </r>
  <r>
    <d v="2025-09-05T00:00:00"/>
    <s v="01:00:00+00:00"/>
    <n v="1.17394995689392"/>
    <n v="1.17410004138946"/>
    <n v="1.1729500293731601"/>
    <n v="1.1729500293731601"/>
    <n v="167"/>
    <n v="1.1726799964904699"/>
    <n v="3.7000179290780301E-4"/>
    <s v="UP"/>
    <n v="1.1720510053634601"/>
    <n v="5.1000118255650701E-5"/>
    <s v="UP"/>
    <n v="6.2899112701431104E-4"/>
    <x v="1"/>
    <x v="440"/>
    <n v="5.37994097228533"/>
    <s v="UP"/>
    <n v="1.1722999811172401"/>
    <n v="1.1719000339507999"/>
    <n v="1.1729999780654901"/>
    <n v="1.1727000474929801"/>
    <x v="0"/>
    <n v="0"/>
    <n v="0"/>
    <n v="0"/>
  </r>
  <r>
    <d v="2025-09-05T00:00:00"/>
    <s v="02:00:00+00:00"/>
    <n v="1.17379999160766"/>
    <n v="1.17435002326965"/>
    <n v="1.17379999160766"/>
    <n v="1.17394995689392"/>
    <n v="78"/>
    <n v="1.17304999828338"/>
    <n v="3.7000179290758102E-4"/>
    <s v="UP"/>
    <n v="1.1721070051193201"/>
    <n v="5.59997558593483E-5"/>
    <s v="UP"/>
    <n v="9.4299316406254398E-4"/>
    <x v="1"/>
    <x v="441"/>
    <n v="-1.2025029176919"/>
    <s v="DOWN"/>
    <n v="1.1729500293731601"/>
    <n v="1.1722999811172401"/>
    <n v="1.17410004138946"/>
    <n v="1.1729999780654901"/>
    <x v="0"/>
    <n v="0"/>
    <n v="0"/>
    <n v="0"/>
  </r>
  <r>
    <d v="2025-09-05T00:00:00"/>
    <s v="03:00:00+00:00"/>
    <n v="1.17410004138946"/>
    <n v="1.17410004138946"/>
    <n v="1.17365002632141"/>
    <n v="1.17375004291534"/>
    <n v="42"/>
    <n v="1.1734800100326499"/>
    <n v="4.3001174926771103E-4"/>
    <s v="UP"/>
    <n v="1.1721760058402999"/>
    <n v="6.9000720977818703E-5"/>
    <s v="UP"/>
    <n v="1.3040041923524301E-3"/>
    <x v="1"/>
    <x v="442"/>
    <n v="1.5933610000298799"/>
    <s v="UP"/>
    <n v="1.17379999160766"/>
    <n v="1.1729500293731601"/>
    <n v="1.17435002326965"/>
    <n v="1.17410004138946"/>
    <x v="0"/>
    <n v="0"/>
    <n v="0"/>
    <n v="0"/>
  </r>
  <r>
    <d v="2025-09-05T00:00:00"/>
    <s v="04:00:00+00:00"/>
    <n v="1.17365002632141"/>
    <n v="1.17404997348785"/>
    <n v="1.17349994182586"/>
    <n v="1.17404997348785"/>
    <n v="29"/>
    <n v="1.1736900091171201"/>
    <n v="2.09999084472611E-4"/>
    <s v="UP"/>
    <n v="1.1722370052337601"/>
    <n v="6.0999393463267898E-5"/>
    <s v="UP"/>
    <n v="1.45300388336178E-3"/>
    <x v="1"/>
    <x v="443"/>
    <n v="-3.79461412121548"/>
    <s v="DOWN"/>
    <n v="1.17365002632141"/>
    <n v="1.17379999160766"/>
    <n v="1.17410004138946"/>
    <n v="1.17435002326965"/>
    <x v="0"/>
    <n v="0"/>
    <n v="0"/>
    <n v="0"/>
  </r>
  <r>
    <d v="2025-09-05T00:00:00"/>
    <s v="05:00:00+00:00"/>
    <n v="1.17470002174377"/>
    <n v="1.17470002174377"/>
    <n v="1.17375004291534"/>
    <n v="1.17375004291534"/>
    <n v="100"/>
    <n v="1.1740400075912401"/>
    <n v="3.4999847412109299E-4"/>
    <s v="UP"/>
    <n v="1.17232600450515"/>
    <n v="8.8999271392831107E-5"/>
    <s v="UP"/>
    <n v="1.71400308609004E-3"/>
    <x v="1"/>
    <x v="444"/>
    <n v="5.5559634130378903"/>
    <s v="UP"/>
    <n v="1.17349994182586"/>
    <n v="1.17365002632141"/>
    <n v="1.17404997348785"/>
    <n v="1.17410004138946"/>
    <x v="0"/>
    <n v="0"/>
    <n v="0"/>
    <n v="0"/>
  </r>
  <r>
    <d v="2025-09-05T00:00:00"/>
    <s v="06:00:00+00:00"/>
    <n v="1.17394995689392"/>
    <n v="1.17464995384216"/>
    <n v="1.17349994182586"/>
    <n v="1.17460000514984"/>
    <n v="196"/>
    <n v="1.1740400075912401"/>
    <n v="0"/>
    <s v="DOWN"/>
    <n v="1.1724050045013401"/>
    <n v="7.8999996185213903E-5"/>
    <s v="UP"/>
    <n v="1.63500308990482E-3"/>
    <x v="1"/>
    <x v="445"/>
    <n v="-5.9312479448085504"/>
    <s v="DOWN"/>
    <n v="1.17375004291534"/>
    <n v="1.17349994182586"/>
    <n v="1.17470002174377"/>
    <n v="1.17404997348785"/>
    <x v="0"/>
    <n v="0"/>
    <n v="0"/>
    <n v="0"/>
  </r>
  <r>
    <d v="2025-09-05T00:00:00"/>
    <s v="07:00:00+00:00"/>
    <n v="1.17470002174377"/>
    <n v="1.1748000383377"/>
    <n v="1.17369997501373"/>
    <n v="1.17385005950927"/>
    <n v="733"/>
    <n v="1.17422001361846"/>
    <n v="1.8000602722167901E-4"/>
    <s v="UP"/>
    <n v="1.172506005764"/>
    <n v="1.0100126266476801E-4"/>
    <s v="UP"/>
    <n v="1.7140078544617399E-3"/>
    <x v="1"/>
    <x v="446"/>
    <n v="3.82961210412665"/>
    <s v="UP"/>
    <n v="1.17349994182586"/>
    <n v="1.17375004291534"/>
    <n v="1.17464995384216"/>
    <n v="1.17470002174377"/>
    <x v="0"/>
    <n v="0"/>
    <n v="0"/>
    <n v="0"/>
  </r>
  <r>
    <d v="2025-09-05T00:00:00"/>
    <s v="08:00:00+00:00"/>
    <n v="1.1751999855041499"/>
    <n v="1.1753499507903999"/>
    <n v="1.1744999885559"/>
    <n v="1.17460000514984"/>
    <n v="4952"/>
    <n v="1.1744400024413999"/>
    <n v="2.1998882293705599E-4"/>
    <s v="UP"/>
    <n v="1.1726010060310299"/>
    <n v="9.5000267028799698E-5"/>
    <s v="UP"/>
    <n v="1.83899641036999E-3"/>
    <x v="1"/>
    <x v="447"/>
    <n v="2.34578662480099"/>
    <s v="UP"/>
    <n v="1.17369997501373"/>
    <n v="1.17349994182586"/>
    <n v="1.1748000383377"/>
    <n v="1.17464995384216"/>
    <x v="0"/>
    <n v="0"/>
    <n v="0"/>
    <n v="0"/>
  </r>
  <r>
    <d v="2025-09-05T00:00:00"/>
    <s v="09:00:00+00:00"/>
    <n v="1.1756999492645199"/>
    <n v="1.1762000322341899"/>
    <n v="1.17505002021789"/>
    <n v="1.1752500534057599"/>
    <n v="1690"/>
    <n v="1.17484998703002"/>
    <n v="4.09984588622958E-4"/>
    <s v="UP"/>
    <n v="1.1727130055427499"/>
    <n v="1.11999511718696E-4"/>
    <s v="UP"/>
    <n v="2.1369814872742501E-3"/>
    <x v="1"/>
    <x v="448"/>
    <n v="2.2245415829365802"/>
    <s v="UP"/>
    <n v="1.1744999885559"/>
    <n v="1.17369997501373"/>
    <n v="1.1753499507903999"/>
    <n v="1.1748000383377"/>
    <x v="0"/>
    <n v="0"/>
    <n v="0"/>
    <n v="0"/>
  </r>
  <r>
    <d v="2025-09-05T00:00:00"/>
    <s v="10:00:00+00:00"/>
    <n v="1.1761499643325799"/>
    <n v="1.1765999794006301"/>
    <n v="1.1756500005721999"/>
    <n v="1.1757500171661299"/>
    <n v="650"/>
    <n v="1.17513997554779"/>
    <n v="2.8998851776118601E-4"/>
    <s v="UP"/>
    <n v="1.1728240036964399"/>
    <n v="1.10998153686647E-4"/>
    <s v="UP"/>
    <n v="2.3159718513487901E-3"/>
    <x v="1"/>
    <x v="449"/>
    <n v="1.90825533630071"/>
    <s v="UP"/>
    <n v="1.17505002021789"/>
    <n v="1.1744999885559"/>
    <n v="1.1762000322341899"/>
    <n v="1.1753499507903999"/>
    <x v="0"/>
    <n v="0"/>
    <n v="0"/>
    <n v="0"/>
  </r>
  <r>
    <d v="2025-09-05T00:00:00"/>
    <s v="11:00:00+00:00"/>
    <n v="1.1756500005721999"/>
    <n v="1.1761000156402499"/>
    <n v="1.17474997043609"/>
    <n v="1.1761000156402499"/>
    <n v="8568"/>
    <n v="1.17547998428344"/>
    <n v="3.4000873565687102E-4"/>
    <s v="UP"/>
    <n v="1.17292200326919"/>
    <n v="9.7999572753915105E-5"/>
    <s v="UP"/>
    <n v="2.5579810142517499E-3"/>
    <x v="1"/>
    <x v="450"/>
    <n v="-4.3278779596988297"/>
    <s v="DOWN"/>
    <n v="1.1756500005721999"/>
    <n v="1.17505002021789"/>
    <n v="1.1765999794006301"/>
    <n v="1.1762000322341899"/>
    <x v="0"/>
    <n v="0"/>
    <n v="0"/>
    <n v="0"/>
  </r>
  <r>
    <d v="2025-09-05T00:00:00"/>
    <s v="12:00:00+00:00"/>
    <n v="1.1802500486373899"/>
    <n v="1.1820000410079901"/>
    <n v="1.1756000518798799"/>
    <n v="1.1757999658584499"/>
    <n v="10307"/>
    <n v="1.1765899896621701"/>
    <n v="1.11000537872296E-3"/>
    <s v="UP"/>
    <n v="1.1730680036544801"/>
    <n v="1.4600038528445001E-4"/>
    <s v="UP"/>
    <n v="3.5219860076902698E-3"/>
    <x v="1"/>
    <x v="451"/>
    <n v="13.9425949339361"/>
    <s v="UP"/>
    <n v="1.17474997043609"/>
    <n v="1.1756500005721999"/>
    <n v="1.1761000156402499"/>
    <n v="1.1765999794006301"/>
    <x v="0"/>
    <n v="0"/>
    <n v="1"/>
    <n v="0"/>
  </r>
  <r>
    <d v="2025-09-05T00:00:00"/>
    <s v="13:00:00+00:00"/>
    <n v="1.1816999912261901"/>
    <n v="1.1819000244140601"/>
    <n v="1.1782499551773"/>
    <n v="1.1804000139236399"/>
    <n v="21411"/>
    <n v="1.1778899908065701"/>
    <n v="1.3000011444093101E-3"/>
    <s v="UP"/>
    <n v="1.1732430028915399"/>
    <n v="1.7499923706054601E-4"/>
    <s v="UP"/>
    <n v="4.6469879150390298E-3"/>
    <x v="1"/>
    <x v="452"/>
    <n v="2.5692137493282101"/>
    <s v="UP"/>
    <n v="1.1756000518798799"/>
    <n v="1.17474997043609"/>
    <n v="1.1820000410079901"/>
    <n v="1.1761000156402499"/>
    <x v="0"/>
    <n v="0"/>
    <n v="0"/>
    <n v="0"/>
  </r>
  <r>
    <d v="2025-09-05T00:00:00"/>
    <s v="14:00:00+00:00"/>
    <n v="1.1805000305175699"/>
    <n v="1.18270003795623"/>
    <n v="1.17910003662109"/>
    <n v="1.1817500591278001"/>
    <n v="2322"/>
    <n v="1.1788500070571899"/>
    <n v="9.6001625061026199E-4"/>
    <s v="UP"/>
    <n v="1.1734190034866301"/>
    <n v="1.7600059509259499E-4"/>
    <s v="UP"/>
    <n v="5.4310035705567002E-3"/>
    <x v="1"/>
    <x v="453"/>
    <n v="-7.5238931283957902"/>
    <s v="DOWN"/>
    <n v="1.1782499551773"/>
    <n v="1.1756000518798799"/>
    <n v="1.1819000244140601"/>
    <n v="1.1820000410079901"/>
    <x v="0"/>
    <n v="0"/>
    <n v="0"/>
    <n v="0"/>
  </r>
  <r>
    <d v="2025-09-05T00:00:00"/>
    <s v="15:00:00+00:00"/>
    <n v="1.18270003795623"/>
    <n v="1.18270003795623"/>
    <n v="1.1804499626159599"/>
    <n v="1.1804499626159599"/>
    <n v="3857"/>
    <n v="1.1801600217819199"/>
    <n v="1.3100147247315701E-3"/>
    <s v="UP"/>
    <n v="1.1736250042915299"/>
    <n v="2.06000804901185E-4"/>
    <s v="UP"/>
    <n v="6.53501749038709E-3"/>
    <x v="1"/>
    <x v="454"/>
    <n v="4.2315799036628601"/>
    <s v="UP"/>
    <n v="1.17910003662109"/>
    <n v="1.1782499551773"/>
    <n v="1.18270003795623"/>
    <n v="1.1819000244140601"/>
    <x v="0"/>
    <n v="0"/>
    <n v="1"/>
    <n v="0"/>
  </r>
  <r>
    <d v="2025-09-05T00:00:00"/>
    <s v="16:00:00+00:00"/>
    <n v="1.1807500123977599"/>
    <n v="1.18274998664855"/>
    <n v="1.1805000305175699"/>
    <n v="1.1826000213623"/>
    <n v="1612"/>
    <n v="1.18118002414703"/>
    <n v="1.0200023651121199E-3"/>
    <s v="UP"/>
    <n v="1.1737980055809001"/>
    <n v="1.7300128936770199E-4"/>
    <s v="UP"/>
    <n v="7.3820185661315199E-3"/>
    <x v="1"/>
    <x v="455"/>
    <n v="-9.9910545508845701"/>
    <s v="DOWN"/>
    <n v="1.1804499626159599"/>
    <n v="1.17910003662109"/>
    <n v="1.18270003795623"/>
    <n v="1.18270003795623"/>
    <x v="1"/>
    <n v="0"/>
    <n v="0"/>
    <n v="0"/>
  </r>
  <r>
    <d v="2025-09-05T00:00:00"/>
    <s v="17:00:00+00:00"/>
    <n v="1.17945003509521"/>
    <n v="1.1806499958038299"/>
    <n v="1.17935001850128"/>
    <n v="1.1806499958038299"/>
    <n v="616"/>
    <n v="1.18102002143859"/>
    <n v="-1.6000270843496899E-4"/>
    <s v="DOWN"/>
    <n v="1.17394000530242"/>
    <n v="1.41999721527064E-4"/>
    <s v="UP"/>
    <n v="7.0800161361694799E-3"/>
    <x v="1"/>
    <x v="456"/>
    <n v="-5.7119498910601996"/>
    <s v="DOWN"/>
    <n v="1.1805000305175699"/>
    <n v="1.1804499626159599"/>
    <n v="1.18274998664855"/>
    <n v="1.18270003795623"/>
    <x v="0"/>
    <n v="0"/>
    <n v="0"/>
    <n v="0"/>
  </r>
  <r>
    <d v="2025-09-05T00:00:00"/>
    <s v="18:00:00+00:00"/>
    <n v="1.1785500049591"/>
    <n v="1.17945003509521"/>
    <n v="1.17830002307891"/>
    <n v="1.1793999671936"/>
    <n v="1525"/>
    <n v="1.1803900241851799"/>
    <n v="-6.2999725341805703E-4"/>
    <s v="DOWN"/>
    <n v="1.1740370059013301"/>
    <n v="9.7000598907603903E-5"/>
    <s v="UP"/>
    <n v="6.3530182838438202E-3"/>
    <x v="1"/>
    <x v="457"/>
    <n v="-3.6638309392090398"/>
    <s v="DOWN"/>
    <n v="1.17935001850128"/>
    <n v="1.1805000305175699"/>
    <n v="1.1806499958038299"/>
    <n v="1.18274998664855"/>
    <x v="0"/>
    <n v="0"/>
    <n v="0"/>
    <n v="0"/>
  </r>
  <r>
    <d v="2025-09-05T00:00:00"/>
    <s v="19:00:00+00:00"/>
    <n v="1.17850005626678"/>
    <n v="1.17910003662109"/>
    <n v="1.17815005779266"/>
    <n v="1.1785500049591"/>
    <n v="345"/>
    <n v="1.1799900293350201"/>
    <n v="-3.9999485015851301E-4"/>
    <s v="DOWN"/>
    <n v="1.17411300659179"/>
    <n v="7.6000690460098497E-5"/>
    <s v="UP"/>
    <n v="5.8770227432252096E-3"/>
    <x v="1"/>
    <x v="458"/>
    <n v="-0.20517258574595501"/>
    <s v="DOWN"/>
    <n v="1.17830002307891"/>
    <n v="1.17935001850128"/>
    <n v="1.17945003509521"/>
    <n v="1.1806499958038299"/>
    <x v="0"/>
    <n v="0"/>
    <n v="0"/>
    <n v="0"/>
  </r>
  <r>
    <d v="2025-09-05T00:00:00"/>
    <s v="20:00:00+00:00"/>
    <n v="1.17844998836517"/>
    <n v="1.17900002002716"/>
    <n v="1.17840003967285"/>
    <n v="1.17859995365142"/>
    <n v="290"/>
    <n v="1.1791400194168"/>
    <n v="-8.5000991821293503E-4"/>
    <s v="DOWN"/>
    <n v="1.17418500661849"/>
    <n v="7.2000026702934096E-5"/>
    <s v="UP"/>
    <n v="4.9550127983093396E-3"/>
    <x v="1"/>
    <x v="459"/>
    <n v="-0.21985190819058401"/>
    <s v="DOWN"/>
    <n v="1.17815005779266"/>
    <n v="1.17830002307891"/>
    <n v="1.17910003662109"/>
    <n v="1.17945003509521"/>
    <x v="0"/>
    <n v="0"/>
    <n v="0"/>
    <n v="0"/>
  </r>
  <r>
    <d v="2025-09-07T00:00:00"/>
    <s v="22:00:00+00:00"/>
    <n v="1.1773999929428101"/>
    <n v="1.17894995212554"/>
    <n v="1.1771500110626201"/>
    <n v="1.17879998683929"/>
    <n v="194"/>
    <n v="1.1784700155258101"/>
    <n v="-6.7000389099125502E-4"/>
    <s v="DOWN"/>
    <n v="1.17426500558853"/>
    <n v="7.9998970031747095E-5"/>
    <s v="UP"/>
    <n v="4.2050099372863397E-3"/>
    <x v="1"/>
    <x v="460"/>
    <n v="-4.5532985346350197"/>
    <s v="DOWN"/>
    <n v="1.17840003967285"/>
    <n v="1.17815005779266"/>
    <n v="1.17900002002716"/>
    <n v="1.17910003662109"/>
    <x v="1"/>
    <n v="1"/>
    <n v="0"/>
    <n v="0"/>
  </r>
  <r>
    <d v="2025-09-07T00:00:00"/>
    <s v="23:00:00+00:00"/>
    <n v="1.17805004119873"/>
    <n v="1.1782499551773"/>
    <n v="1.1774499416351301"/>
    <n v="1.1776000261306701"/>
    <n v="836"/>
    <n v="1.17819001674652"/>
    <n v="-2.79998779296963E-4"/>
    <s v="DOWN"/>
    <n v="1.1743570065498301"/>
    <n v="9.2000961303684197E-5"/>
    <s v="UP"/>
    <n v="3.8330101966856898E-3"/>
    <x v="1"/>
    <x v="461"/>
    <n v="2.3767907461534299"/>
    <s v="UP"/>
    <n v="1.1771500110626201"/>
    <n v="1.17840003967285"/>
    <n v="1.17894995212554"/>
    <n v="1.17900002002716"/>
    <x v="0"/>
    <n v="0"/>
    <n v="0"/>
    <n v="0"/>
  </r>
  <r>
    <d v="2025-09-08T00:00:00"/>
    <s v="00:00:00+00:00"/>
    <n v="1.17809998989105"/>
    <n v="1.17809998989105"/>
    <n v="1.1772500276565501"/>
    <n v="1.17780005931854"/>
    <n v="120"/>
    <n v="1.1781000137329101"/>
    <n v="-9.0003013610839803E-5"/>
    <s v="DOWN"/>
    <n v="1.17445500612258"/>
    <n v="9.7999572753915105E-5"/>
    <s v="UP"/>
    <n v="3.6450076103209301E-3"/>
    <x v="1"/>
    <x v="462"/>
    <n v="0.186008538523218"/>
    <s v="UP"/>
    <n v="1.1774499416351301"/>
    <n v="1.1771500110626201"/>
    <n v="1.1782499551773"/>
    <n v="1.17894995212554"/>
    <x v="0"/>
    <n v="1"/>
    <n v="0"/>
    <n v="0"/>
  </r>
  <r>
    <d v="2025-09-08T00:00:00"/>
    <s v="01:00:00+00:00"/>
    <n v="1.17795002460479"/>
    <n v="1.17834997177124"/>
    <n v="1.1775000095367401"/>
    <n v="1.17809998989105"/>
    <n v="1333"/>
    <n v="1.1779900074005101"/>
    <n v="-1.1000633239732701E-4"/>
    <s v="DOWN"/>
    <n v="1.1745490074157701"/>
    <n v="9.4001293182266398E-5"/>
    <s v="UP"/>
    <n v="3.4409999847413398E-3"/>
    <x v="1"/>
    <x v="463"/>
    <n v="-0.73168954288745802"/>
    <s v="DOWN"/>
    <n v="1.1772500276565501"/>
    <n v="1.1774499416351301"/>
    <n v="1.17809998989105"/>
    <n v="1.1782499551773"/>
    <x v="0"/>
    <n v="0"/>
    <n v="0"/>
    <n v="0"/>
  </r>
  <r>
    <d v="2025-09-08T00:00:00"/>
    <s v="02:00:00+00:00"/>
    <n v="1.1782499551773"/>
    <n v="1.17840003967285"/>
    <n v="1.17774999141693"/>
    <n v="1.17809998989105"/>
    <n v="357"/>
    <n v="1.17795000076293"/>
    <n v="-4.0006637573197697E-5"/>
    <s v="DOWN"/>
    <n v="1.17465100765228"/>
    <n v="1.0200023651130099E-4"/>
    <s v="UP"/>
    <n v="3.2989931106568401E-3"/>
    <x v="1"/>
    <x v="464"/>
    <n v="1.25795882623759"/>
    <s v="UP"/>
    <n v="1.1775000095367401"/>
    <n v="1.1772500276565501"/>
    <n v="1.17834997177124"/>
    <n v="1.17809998989105"/>
    <x v="0"/>
    <n v="0"/>
    <n v="0"/>
    <n v="0"/>
  </r>
  <r>
    <d v="2025-09-08T00:00:00"/>
    <s v="03:00:00+00:00"/>
    <n v="1.1777000427246"/>
    <n v="1.1782499551773"/>
    <n v="1.1775499582290601"/>
    <n v="1.17809998989105"/>
    <n v="51"/>
    <n v="1.1780100107192899"/>
    <n v="6.0009956359685598E-5"/>
    <s v="UP"/>
    <n v="1.1747410082817"/>
    <n v="9.0000629425102105E-5"/>
    <s v="UP"/>
    <n v="3.2690024375914201E-3"/>
    <x v="1"/>
    <x v="465"/>
    <n v="-2.8959117406598498"/>
    <s v="DOWN"/>
    <n v="1.17774999141693"/>
    <n v="1.1775000095367401"/>
    <n v="1.17840003967285"/>
    <n v="1.17834997177124"/>
    <x v="0"/>
    <n v="0"/>
    <n v="0"/>
    <n v="0"/>
  </r>
  <r>
    <d v="2025-09-08T00:00:00"/>
    <s v="04:00:00+00:00"/>
    <n v="1.17805004119873"/>
    <n v="1.17809998989105"/>
    <n v="1.1773500442504801"/>
    <n v="1.1777000427246"/>
    <n v="152"/>
    <n v="1.1780100107192899"/>
    <n v="0"/>
    <s v="DOWN"/>
    <n v="1.17484300851821"/>
    <n v="1.0200023651130099E-4"/>
    <s v="UP"/>
    <n v="3.1670022010801199E-3"/>
    <x v="1"/>
    <x v="466"/>
    <n v="1.6150068299784399"/>
    <s v="UP"/>
    <n v="1.1775499582290601"/>
    <n v="1.17774999141693"/>
    <n v="1.1782499551773"/>
    <n v="1.17840003967285"/>
    <x v="0"/>
    <n v="0"/>
    <n v="0"/>
    <n v="0"/>
  </r>
  <r>
    <d v="2025-09-08T00:00:00"/>
    <s v="05:00:00+00:00"/>
    <n v="1.1782499551773"/>
    <n v="1.17879998683929"/>
    <n v="1.17799997329711"/>
    <n v="1.17799997329711"/>
    <n v="375"/>
    <n v="1.1780400037765499"/>
    <n v="2.99930572511541E-5"/>
    <s v="UP"/>
    <n v="1.17495100736618"/>
    <n v="1.0799884796131001E-4"/>
    <s v="UP"/>
    <n v="3.0889964103699699E-3"/>
    <x v="1"/>
    <x v="467"/>
    <n v="0.93949294423915497"/>
    <s v="UP"/>
    <n v="1.1773500442504801"/>
    <n v="1.1775499582290601"/>
    <n v="1.17809998989105"/>
    <n v="1.1782499551773"/>
    <x v="0"/>
    <n v="0"/>
    <n v="0"/>
    <n v="0"/>
  </r>
  <r>
    <d v="2025-09-08T00:00:00"/>
    <s v="06:00:00+00:00"/>
    <n v="1.17945003509521"/>
    <n v="1.17949998378753"/>
    <n v="1.17799997329711"/>
    <n v="1.17830002307891"/>
    <n v="1604"/>
    <n v="1.1783400058746301"/>
    <n v="3.0000209808345098E-4"/>
    <s v="UP"/>
    <n v="1.1750930070876999"/>
    <n v="1.41999721527064E-4"/>
    <s v="UP"/>
    <n v="3.2469987869263501E-3"/>
    <x v="1"/>
    <x v="468"/>
    <n v="5.2466758978863401"/>
    <s v="UP"/>
    <n v="1.17799997329711"/>
    <n v="1.1773500442504801"/>
    <n v="1.17879998683929"/>
    <n v="1.17809998989105"/>
    <x v="0"/>
    <n v="0"/>
    <n v="0"/>
    <n v="0"/>
  </r>
  <r>
    <d v="2025-09-08T00:00:00"/>
    <s v="07:00:00+00:00"/>
    <n v="1.1799999475479099"/>
    <n v="1.1800999641418399"/>
    <n v="1.17879998683929"/>
    <n v="1.17945003509521"/>
    <n v="1524"/>
    <n v="1.17869000434875"/>
    <n v="3.4999847412109299E-4"/>
    <s v="UP"/>
    <n v="1.1752450060844399"/>
    <n v="1.5199899673468099E-4"/>
    <s v="UP"/>
    <n v="3.4449982643127699E-3"/>
    <x v="1"/>
    <x v="469"/>
    <n v="2.1582579612018198"/>
    <s v="UP"/>
    <n v="1.17799997329711"/>
    <n v="1.17799997329711"/>
    <n v="1.17949998378753"/>
    <n v="1.17879998683929"/>
    <x v="0"/>
    <n v="0"/>
    <n v="0"/>
    <n v="0"/>
  </r>
  <r>
    <d v="2025-09-08T00:00:00"/>
    <s v="08:00:00+00:00"/>
    <n v="1.1798499822616499"/>
    <n v="1.1809999942779501"/>
    <n v="1.17935001850128"/>
    <n v="1.1800500154495199"/>
    <n v="3944"/>
    <n v="1.1791199922561599"/>
    <n v="4.2998790740966699E-4"/>
    <s v="UP"/>
    <n v="1.1753980064392"/>
    <n v="1.5300035476673E-4"/>
    <s v="UP"/>
    <n v="3.7219858169556998E-3"/>
    <x v="1"/>
    <x v="470"/>
    <n v="-0.99973109927707704"/>
    <s v="DOWN"/>
    <n v="1.17879998683929"/>
    <n v="1.17799997329711"/>
    <n v="1.1800999641418399"/>
    <n v="1.17949998378753"/>
    <x v="0"/>
    <n v="0"/>
    <n v="0"/>
    <n v="0"/>
  </r>
  <r>
    <d v="2025-09-08T00:00:00"/>
    <s v="09:00:00+00:00"/>
    <n v="1.17920005321502"/>
    <n v="1.1797499656677199"/>
    <n v="1.1788500547409"/>
    <n v="1.17960000038146"/>
    <n v="4219"/>
    <n v="1.1793499946594199"/>
    <n v="2.3000240325932099E-4"/>
    <s v="UP"/>
    <n v="1.17553500652313"/>
    <n v="1.37000083923366E-4"/>
    <s v="UP"/>
    <n v="3.8149881362916599E-3"/>
    <x v="1"/>
    <x v="471"/>
    <n v="-4.2747623165258002"/>
    <s v="DOWN"/>
    <n v="1.17935001850128"/>
    <n v="1.17879998683929"/>
    <n v="1.1809999942779501"/>
    <n v="1.1800999641418399"/>
    <x v="0"/>
    <n v="0"/>
    <n v="0"/>
    <n v="0"/>
  </r>
  <r>
    <d v="2025-09-08T00:00:00"/>
    <s v="10:00:00+00:00"/>
    <n v="1.17935001850128"/>
    <n v="1.17960000038146"/>
    <n v="1.17875003814697"/>
    <n v="1.17910003662109"/>
    <n v="1552"/>
    <n v="1.1795700073242099"/>
    <n v="2.2001266479487701E-4"/>
    <s v="UP"/>
    <n v="1.17567800760269"/>
    <n v="1.43001079559335E-4"/>
    <s v="UP"/>
    <n v="3.8919997215272001E-3"/>
    <x v="1"/>
    <x v="472"/>
    <n v="0.71468477416763598"/>
    <s v="UP"/>
    <n v="1.1788500547409"/>
    <n v="1.17935001850128"/>
    <n v="1.1797499656677199"/>
    <n v="1.1809999942779501"/>
    <x v="0"/>
    <n v="0"/>
    <n v="0"/>
    <n v="0"/>
  </r>
  <r>
    <d v="2025-09-08T00:00:00"/>
    <s v="11:00:00+00:00"/>
    <n v="1.1796499490737899"/>
    <n v="1.1799000501632599"/>
    <n v="1.17925000190734"/>
    <n v="1.17929995059967"/>
    <n v="2006"/>
    <n v="1.17960999011993"/>
    <n v="3.99827957153764E-5"/>
    <s v="UP"/>
    <n v="1.1758320069313"/>
    <n v="1.53999328613263E-4"/>
    <s v="UP"/>
    <n v="3.77798318862931E-3"/>
    <x v="1"/>
    <x v="473"/>
    <n v="1.4602972831601999"/>
    <s v="UP"/>
    <n v="1.17875003814697"/>
    <n v="1.1788500547409"/>
    <n v="1.17960000038146"/>
    <n v="1.1797499656677199"/>
    <x v="0"/>
    <n v="0"/>
    <n v="0"/>
    <n v="0"/>
  </r>
  <r>
    <d v="2025-09-08T00:00:00"/>
    <s v="12:00:00+00:00"/>
    <n v="1.1805499792098999"/>
    <n v="1.1808999776840201"/>
    <n v="1.17910003662109"/>
    <n v="1.1796499490737899"/>
    <n v="7006"/>
    <n v="1.1797199964523299"/>
    <n v="1.1000633239732701E-4"/>
    <s v="UP"/>
    <n v="1.17599100589752"/>
    <n v="1.5899896621718299E-4"/>
    <s v="UP"/>
    <n v="3.7289905548094598E-3"/>
    <x v="1"/>
    <x v="474"/>
    <n v="4.0902640239972996"/>
    <s v="UP"/>
    <n v="1.17925000190734"/>
    <n v="1.17875003814697"/>
    <n v="1.1799000501632599"/>
    <n v="1.17960000038146"/>
    <x v="0"/>
    <n v="0"/>
    <n v="0"/>
    <n v="0"/>
  </r>
  <r>
    <d v="2025-09-08T00:00:00"/>
    <s v="13:00:00+00:00"/>
    <n v="1.1818499565124501"/>
    <n v="1.18239998817443"/>
    <n v="1.1804499626159599"/>
    <n v="1.1805499792098999"/>
    <n v="14558"/>
    <n v="1.18011999130249"/>
    <n v="3.99994850158735E-4"/>
    <s v="UP"/>
    <n v="1.1762030053138699"/>
    <n v="2.1199941635119399E-4"/>
    <s v="UP"/>
    <n v="3.9169859886170003E-3"/>
    <x v="1"/>
    <x v="475"/>
    <n v="4.9338148367567696"/>
    <s v="UP"/>
    <n v="1.17910003662109"/>
    <n v="1.17925000190734"/>
    <n v="1.1808999776840201"/>
    <n v="1.1799000501632599"/>
    <x v="0"/>
    <n v="0"/>
    <n v="0"/>
    <n v="0"/>
  </r>
  <r>
    <d v="2025-09-08T00:00:00"/>
    <s v="14:00:00+00:00"/>
    <n v="1.1812499761581401"/>
    <n v="1.1821000576019201"/>
    <n v="1.1807500123977599"/>
    <n v="1.1818499565124501"/>
    <n v="9794"/>
    <n v="1.1805299758911101"/>
    <n v="4.09984588622958E-4"/>
    <s v="UP"/>
    <n v="1.17638400554656"/>
    <n v="1.8100023269651501E-4"/>
    <s v="UP"/>
    <n v="4.1459703445434403E-3"/>
    <x v="1"/>
    <x v="476"/>
    <n v="-4.3781515024590396"/>
    <s v="DOWN"/>
    <n v="1.1804499626159599"/>
    <n v="1.17910003662109"/>
    <n v="1.18239998817443"/>
    <n v="1.1808999776840201"/>
    <x v="0"/>
    <n v="0"/>
    <n v="0"/>
    <n v="0"/>
  </r>
  <r>
    <d v="2025-09-08T00:00:00"/>
    <s v="15:00:00+00:00"/>
    <n v="1.1818000078201201"/>
    <n v="1.1819499731063801"/>
    <n v="1.1811000108718801"/>
    <n v="1.1813000440597501"/>
    <n v="15302"/>
    <n v="1.1810199737548801"/>
    <n v="4.8999786376957501E-4"/>
    <s v="UP"/>
    <n v="1.1765940046310399"/>
    <n v="2.0999908447283299E-4"/>
    <s v="UP"/>
    <n v="4.4259691238401899E-3"/>
    <x v="1"/>
    <x v="477"/>
    <n v="2.1002746463121502"/>
    <s v="UP"/>
    <n v="1.1807500123977599"/>
    <n v="1.1804499626159599"/>
    <n v="1.1821000576019201"/>
    <n v="1.18239998817443"/>
    <x v="0"/>
    <n v="0"/>
    <n v="0"/>
    <n v="0"/>
  </r>
  <r>
    <d v="2025-09-08T00:00:00"/>
    <s v="16:00:00+00:00"/>
    <n v="1.1808500289916899"/>
    <n v="1.1819499731063801"/>
    <n v="1.1802999973297099"/>
    <n v="1.1817500591278001"/>
    <n v="5875"/>
    <n v="1.1812599897384599"/>
    <n v="2.40015983581587E-4"/>
    <s v="UP"/>
    <n v="1.17677800416946"/>
    <n v="1.8399953842162999E-4"/>
    <s v="UP"/>
    <n v="4.4819855690001404E-3"/>
    <x v="1"/>
    <x v="478"/>
    <n v="-6.5900376133635099"/>
    <s v="DOWN"/>
    <n v="1.1811000108718801"/>
    <n v="1.1807500123977599"/>
    <n v="1.1819499731063801"/>
    <n v="1.1821000576019201"/>
    <x v="0"/>
    <n v="0"/>
    <n v="0"/>
    <n v="0"/>
  </r>
  <r>
    <d v="2025-09-08T00:00:00"/>
    <s v="17:00:00+00:00"/>
    <n v="1.1806999444961499"/>
    <n v="1.1813999414443901"/>
    <n v="1.1802500486373899"/>
    <n v="1.1807500123977599"/>
    <n v="1157"/>
    <n v="1.18128998279571"/>
    <n v="2.9993057250932099E-5"/>
    <s v="UP"/>
    <n v="1.17695100307464"/>
    <n v="1.7299890518174201E-4"/>
    <s v="UP"/>
    <n v="4.3389797210693299E-3"/>
    <x v="1"/>
    <x v="479"/>
    <n v="-0.993471158899637"/>
    <s v="DOWN"/>
    <n v="1.1802999973297099"/>
    <n v="1.1811000108718801"/>
    <n v="1.1819499731063801"/>
    <n v="1.1819499731063801"/>
    <x v="0"/>
    <n v="0"/>
    <n v="0"/>
    <n v="0"/>
  </r>
  <r>
    <d v="2025-09-08T00:00:00"/>
    <s v="18:00:00+00:00"/>
    <n v="1.18289995193481"/>
    <n v="1.18299996852874"/>
    <n v="1.1806999444961499"/>
    <n v="1.1806999444961499"/>
    <n v="4087"/>
    <n v="1.1814999818801799"/>
    <n v="2.09999084472611E-4"/>
    <s v="UP"/>
    <n v="1.17719900131225"/>
    <n v="2.47998237610014E-4"/>
    <s v="UP"/>
    <n v="4.30098056793193E-3"/>
    <x v="1"/>
    <x v="480"/>
    <n v="8.5060781541250794"/>
    <s v="UP"/>
    <n v="1.1802500486373899"/>
    <n v="1.1802999973297099"/>
    <n v="1.1813999414443901"/>
    <n v="1.1819499731063801"/>
    <x v="0"/>
    <n v="0"/>
    <n v="0"/>
    <n v="0"/>
  </r>
  <r>
    <d v="2025-09-08T00:00:00"/>
    <s v="19:00:00+00:00"/>
    <n v="1.18299996852874"/>
    <n v="1.18330001831054"/>
    <n v="1.18274998664855"/>
    <n v="1.18285000324249"/>
    <n v="3742"/>
    <n v="1.1818499803542999"/>
    <n v="3.4999847412109299E-4"/>
    <s v="UP"/>
    <n v="1.17742300033569"/>
    <n v="2.2399902343739301E-4"/>
    <s v="UP"/>
    <n v="4.4269800186156304E-3"/>
    <x v="1"/>
    <x v="481"/>
    <n v="0.32679503061373699"/>
    <s v="UP"/>
    <n v="1.1806999444961499"/>
    <n v="1.1802500486373899"/>
    <n v="1.18299996852874"/>
    <n v="1.1813999414443901"/>
    <x v="0"/>
    <n v="0"/>
    <n v="0"/>
    <n v="0"/>
  </r>
  <r>
    <d v="2025-09-08T00:00:00"/>
    <s v="20:00:00+00:00"/>
    <n v="1.18315005302429"/>
    <n v="1.18315005302429"/>
    <n v="1.18270003795623"/>
    <n v="1.18299996852874"/>
    <n v="236"/>
    <n v="1.18211998939514"/>
    <n v="2.7000904083251899E-4"/>
    <s v="UP"/>
    <n v="1.1776670002937299"/>
    <n v="2.4399995803836501E-4"/>
    <s v="UP"/>
    <n v="4.45298910140978E-3"/>
    <x v="1"/>
    <x v="482"/>
    <n v="0.51444932913422203"/>
    <s v="UP"/>
    <n v="1.18274998664855"/>
    <n v="1.1806999444961499"/>
    <n v="1.18330001831054"/>
    <n v="1.18299996852874"/>
    <x v="0"/>
    <n v="0"/>
    <n v="0"/>
    <n v="0"/>
  </r>
  <r>
    <d v="2025-09-08T00:00:00"/>
    <s v="22:00:00+00:00"/>
    <n v="1.18289995193481"/>
    <n v="1.18320000171661"/>
    <n v="1.18285000324249"/>
    <n v="1.18315005302429"/>
    <n v="0"/>
    <n v="1.18252997398376"/>
    <n v="4.0998458862317999E-4"/>
    <s v="UP"/>
    <n v="1.17790999889373"/>
    <n v="2.4299860000609401E-4"/>
    <s v="UP"/>
    <n v="4.6199750900268698E-3"/>
    <x v="1"/>
    <x v="483"/>
    <n v="-1.9043956091143099"/>
    <s v="DOWN"/>
    <n v="1.18270003795623"/>
    <n v="1.18274998664855"/>
    <n v="1.18315005302429"/>
    <n v="1.18330001831054"/>
    <x v="0"/>
    <n v="0"/>
    <n v="0"/>
    <n v="0"/>
  </r>
  <r>
    <d v="2025-09-08T00:00:00"/>
    <s v="23:00:00+00:00"/>
    <n v="1.18350005149841"/>
    <n v="1.18404996395111"/>
    <n v="1.18289995193481"/>
    <n v="1.18289995193481"/>
    <n v="350"/>
    <n v="1.18308999538421"/>
    <n v="5.6002140045152595E-4"/>
    <s v="UP"/>
    <n v="1.1781529998779201"/>
    <n v="2.4300098419183201E-4"/>
    <s v="UP"/>
    <n v="4.93699550628656E-3"/>
    <x v="1"/>
    <x v="484"/>
    <n v="2.2566792383791001"/>
    <s v="UP"/>
    <n v="1.18285000324249"/>
    <n v="1.18270003795623"/>
    <n v="1.18320000171661"/>
    <n v="1.18315005302429"/>
    <x v="1"/>
    <n v="0"/>
    <n v="0"/>
    <n v="0"/>
  </r>
  <r>
    <d v="2025-09-09T00:00:00"/>
    <s v="00:00:00+00:00"/>
    <n v="1.18379998207092"/>
    <n v="1.18404996395111"/>
    <n v="1.18324995040893"/>
    <n v="1.18350005149841"/>
    <n v="350"/>
    <n v="1.1832700014114299"/>
    <n v="1.8000602722167901E-4"/>
    <s v="UP"/>
    <n v="1.17838700056076"/>
    <n v="2.3400068283074799E-4"/>
    <s v="UP"/>
    <n v="4.8830008506774896E-3"/>
    <x v="1"/>
    <x v="485"/>
    <n v="1.0934930127776701"/>
    <s v="UP"/>
    <n v="1.18289995193481"/>
    <n v="1.18285000324249"/>
    <n v="1.18404996395111"/>
    <n v="1.18320000171661"/>
    <x v="0"/>
    <n v="0"/>
    <n v="0"/>
    <n v="0"/>
  </r>
  <r>
    <d v="2025-09-09T00:00:00"/>
    <s v="01:00:00+00:00"/>
    <n v="1.1841499805450399"/>
    <n v="1.1843999624252299"/>
    <n v="1.18330001831054"/>
    <n v="1.18379998207092"/>
    <n v="1026"/>
    <n v="1.1835000038146899"/>
    <n v="2.3000240325932099E-4"/>
    <s v="UP"/>
    <n v="1.1786310005187901"/>
    <n v="2.4399995803836501E-4"/>
    <s v="UP"/>
    <n v="4.8690032958984501E-3"/>
    <x v="1"/>
    <x v="486"/>
    <n v="1.2704980280443099"/>
    <s v="UP"/>
    <n v="1.18324995040893"/>
    <n v="1.18289995193481"/>
    <n v="1.18404996395111"/>
    <n v="1.18404996395111"/>
    <x v="0"/>
    <n v="0"/>
    <n v="0"/>
    <n v="0"/>
  </r>
  <r>
    <d v="2025-09-09T00:00:00"/>
    <s v="02:00:00+00:00"/>
    <n v="1.18355000019073"/>
    <n v="1.1843500137329099"/>
    <n v="1.18350005149841"/>
    <n v="1.1842000484466499"/>
    <n v="8939"/>
    <n v="1.18357999324798"/>
    <n v="7.9989433288574205E-5"/>
    <s v="UP"/>
    <n v="1.17886300086975"/>
    <n v="2.3200035095216601E-4"/>
    <s v="UP"/>
    <n v="4.7169923782348598E-3"/>
    <x v="1"/>
    <x v="487"/>
    <n v="-5.1135782553446596"/>
    <s v="DOWN"/>
    <n v="1.18330001831054"/>
    <n v="1.18324995040893"/>
    <n v="1.1843999624252299"/>
    <n v="1.18404996395111"/>
    <x v="0"/>
    <n v="0"/>
    <n v="0"/>
    <n v="0"/>
  </r>
  <r>
    <d v="2025-09-09T00:00:00"/>
    <s v="03:00:00+00:00"/>
    <n v="1.18305003643035"/>
    <n v="1.18359994888305"/>
    <n v="1.18305003643035"/>
    <n v="1.18355000019073"/>
    <n v="4887"/>
    <n v="1.1836100101470901"/>
    <n v="3.0016899108975499E-5"/>
    <s v="UP"/>
    <n v="1.1790720009803699"/>
    <n v="2.0900011062629999E-4"/>
    <s v="UP"/>
    <n v="4.5380091667175304E-3"/>
    <x v="1"/>
    <x v="488"/>
    <n v="-4.0001645866077302"/>
    <s v="DOWN"/>
    <n v="1.18350005149841"/>
    <n v="1.18330001831054"/>
    <n v="1.1843500137329099"/>
    <n v="1.1843999624252299"/>
    <x v="0"/>
    <n v="0"/>
    <n v="0"/>
    <n v="0"/>
  </r>
  <r>
    <d v="2025-09-09T00:00:00"/>
    <s v="04:00:00+00:00"/>
    <n v="1.18394994735717"/>
    <n v="1.1842499971389699"/>
    <n v="1.18330001831054"/>
    <n v="1.18330001831054"/>
    <n v="804"/>
    <n v="1.18369998931884"/>
    <n v="8.9979171752796407E-5"/>
    <s v="UP"/>
    <n v="1.1792919993400499"/>
    <n v="2.1999835968022899E-4"/>
    <s v="UP"/>
    <n v="4.4079899787901004E-3"/>
    <x v="1"/>
    <x v="489"/>
    <n v="4.0077016737765003"/>
    <s v="UP"/>
    <n v="1.18305003643035"/>
    <n v="1.18350005149841"/>
    <n v="1.18359994888305"/>
    <n v="1.1843500137329099"/>
    <x v="0"/>
    <n v="0"/>
    <n v="0"/>
    <n v="0"/>
  </r>
  <r>
    <d v="2025-09-09T00:00:00"/>
    <s v="05:00:00+00:00"/>
    <n v="1.1845500469207699"/>
    <n v="1.1847000122070299"/>
    <n v="1.18385004997253"/>
    <n v="1.18389999866485"/>
    <n v="4771"/>
    <n v="1.1838500022888101"/>
    <n v="1.5001296997074699E-4"/>
    <s v="UP"/>
    <n v="1.17950400114059"/>
    <n v="2.1200180053693101E-4"/>
    <s v="UP"/>
    <n v="4.3460011482239196E-3"/>
    <x v="1"/>
    <x v="490"/>
    <n v="2.39422175218386"/>
    <s v="UP"/>
    <n v="1.18330001831054"/>
    <n v="1.18305003643035"/>
    <n v="1.1842499971389699"/>
    <n v="1.18359994888305"/>
    <x v="1"/>
    <n v="0"/>
    <n v="0"/>
    <n v="0"/>
  </r>
  <r>
    <d v="2025-09-09T00:00:00"/>
    <s v="06:00:00+00:00"/>
    <n v="1.18315005302429"/>
    <n v="1.1846499443054199"/>
    <n v="1.1822999715805"/>
    <n v="1.1845999956130899"/>
    <n v="7428"/>
    <n v="1.18365001678466"/>
    <n v="-1.99985504150346E-4"/>
    <s v="DOWN"/>
    <n v="1.17969100236892"/>
    <n v="1.8700122833270599E-4"/>
    <s v="UP"/>
    <n v="3.9590144157408604E-3"/>
    <x v="1"/>
    <x v="491"/>
    <n v="-10.2520990724518"/>
    <s v="DOWN"/>
    <n v="1.18385004997253"/>
    <n v="1.18330001831054"/>
    <n v="1.1847000122070299"/>
    <n v="1.1842499971389699"/>
    <x v="0"/>
    <n v="0"/>
    <n v="0"/>
    <n v="0"/>
  </r>
  <r>
    <d v="2025-09-09T00:00:00"/>
    <s v="07:00:00+00:00"/>
    <n v="1.1819499731063801"/>
    <n v="1.18350005149841"/>
    <n v="1.1814999580383301"/>
    <n v="1.18315005302429"/>
    <n v="42451"/>
    <n v="1.18333001136779"/>
    <n v="-3.20005416870161E-4"/>
    <s v="DOWN"/>
    <n v="1.1798480010032599"/>
    <n v="1.5699863433837801E-4"/>
    <s v="UP"/>
    <n v="3.4820103645323199E-3"/>
    <x v="1"/>
    <x v="492"/>
    <n v="-7.0653110887259203"/>
    <s v="DOWN"/>
    <n v="1.1822999715805"/>
    <n v="1.18385004997253"/>
    <n v="1.1846499443054199"/>
    <n v="1.1847000122070299"/>
    <x v="0"/>
    <n v="0"/>
    <n v="0"/>
    <n v="0"/>
  </r>
  <r>
    <d v="2025-09-09T00:00:00"/>
    <s v="08:00:00+00:00"/>
    <n v="1.1826000213623"/>
    <n v="1.18285000324249"/>
    <n v="1.1811000108718801"/>
    <n v="1.1819000244140601"/>
    <n v="15253"/>
    <n v="1.1832400083541801"/>
    <n v="-9.0003013610839803E-5"/>
    <s v="DOWN"/>
    <n v="1.1800270009040801"/>
    <n v="1.78999900817711E-4"/>
    <s v="UP"/>
    <n v="3.2130074501037702E-3"/>
    <x v="1"/>
    <x v="493"/>
    <n v="3.2468981525671601"/>
    <s v="UP"/>
    <n v="1.1814999580383301"/>
    <n v="1.1822999715805"/>
    <n v="1.18350005149841"/>
    <n v="1.1846499443054199"/>
    <x v="0"/>
    <n v="0"/>
    <n v="0"/>
    <n v="0"/>
  </r>
  <r>
    <d v="2025-09-09T00:00:00"/>
    <s v="09:00:00+00:00"/>
    <n v="1.18340003490448"/>
    <n v="1.18385004997253"/>
    <n v="1.18264997005462"/>
    <n v="1.18264997005462"/>
    <n v="16476"/>
    <n v="1.1831300258636399"/>
    <n v="-1.0998249053950601E-4"/>
    <s v="DOWN"/>
    <n v="1.1802010011672901"/>
    <n v="1.74000263214235E-4"/>
    <s v="UP"/>
    <n v="2.9290246963500298E-3"/>
    <x v="1"/>
    <x v="494"/>
    <n v="3.6937236596212499"/>
    <s v="UP"/>
    <n v="1.1811000108718801"/>
    <n v="1.1814999580383301"/>
    <n v="1.18285000324249"/>
    <n v="1.18350005149841"/>
    <x v="0"/>
    <n v="0"/>
    <n v="0"/>
    <n v="0"/>
  </r>
  <r>
    <d v="2025-09-09T00:00:00"/>
    <s v="10:00:00+00:00"/>
    <n v="1.1820000410079901"/>
    <n v="1.18379998207092"/>
    <n v="1.1819000244140601"/>
    <n v="1.1834499835968"/>
    <n v="8586"/>
    <n v="1.1826200246810901"/>
    <n v="-5.1000118255606298E-4"/>
    <s v="DOWN"/>
    <n v="1.18036200284957"/>
    <n v="1.61001682281503E-4"/>
    <s v="UP"/>
    <n v="2.2580218315124598E-3"/>
    <x v="1"/>
    <x v="495"/>
    <n v="-7.6526810774657203"/>
    <s v="DOWN"/>
    <n v="1.18264997005462"/>
    <n v="1.1811000108718801"/>
    <n v="1.18385004997253"/>
    <n v="1.18285000324249"/>
    <x v="0"/>
    <n v="0"/>
    <n v="0"/>
    <n v="0"/>
  </r>
  <r>
    <d v="2025-09-09T00:00:00"/>
    <s v="11:00:00+00:00"/>
    <n v="1.1808999776840201"/>
    <n v="1.1821000576019201"/>
    <n v="1.1807999610900799"/>
    <n v="1.1821000576019201"/>
    <n v="21959"/>
    <n v="1.1821700096130301"/>
    <n v="-4.50015068054199E-4"/>
    <s v="DOWN"/>
    <n v="1.18048600196838"/>
    <n v="1.2399911880489601E-4"/>
    <s v="UP"/>
    <n v="1.6840076446533699E-3"/>
    <x v="1"/>
    <x v="496"/>
    <n v="-5.0555348908773796"/>
    <s v="DOWN"/>
    <n v="1.1819000244140601"/>
    <n v="1.18264997005462"/>
    <n v="1.18379998207092"/>
    <n v="1.18385004997253"/>
    <x v="0"/>
    <n v="0"/>
    <n v="0"/>
    <n v="0"/>
  </r>
  <r>
    <d v="2025-09-09T00:00:00"/>
    <s v="12:00:00+00:00"/>
    <n v="1.1804000139236399"/>
    <n v="1.1811499595642001"/>
    <n v="1.1793999671936"/>
    <n v="1.1809500455856301"/>
    <n v="20251"/>
    <n v="1.18186001777648"/>
    <n v="-3.09991836547895E-4"/>
    <s v="DOWN"/>
    <n v="1.1805900025367699"/>
    <n v="1.0400056838988301E-4"/>
    <s v="UP"/>
    <n v="1.27001523971559E-3"/>
    <x v="1"/>
    <x v="497"/>
    <n v="-2.1213148199687901"/>
    <s v="DOWN"/>
    <n v="1.1807999610900799"/>
    <n v="1.1819000244140601"/>
    <n v="1.1821000576019201"/>
    <n v="1.18379998207092"/>
    <x v="0"/>
    <n v="0"/>
    <n v="0"/>
    <n v="0"/>
  </r>
  <r>
    <d v="2025-09-09T00:00:00"/>
    <s v="13:00:00+00:00"/>
    <n v="1.1808999776840201"/>
    <n v="1.1815500259399401"/>
    <n v="1.1800999641418399"/>
    <n v="1.1804000139236399"/>
    <n v="15985"/>
    <n v="1.18152000904083"/>
    <n v="-3.4000873565687102E-4"/>
    <s v="DOWN"/>
    <n v="1.18069400310516"/>
    <n v="1.0400056838988301E-4"/>
    <s v="UP"/>
    <n v="8.2600593566883797E-4"/>
    <x v="1"/>
    <x v="498"/>
    <n v="2.7345370711899899"/>
    <s v="UP"/>
    <n v="1.1793999671936"/>
    <n v="1.1807999610900799"/>
    <n v="1.1811499595642001"/>
    <n v="1.1821000576019201"/>
    <x v="0"/>
    <n v="0"/>
    <n v="0"/>
    <n v="0"/>
  </r>
  <r>
    <d v="2025-09-09T00:00:00"/>
    <s v="14:00:00+00:00"/>
    <n v="1.1797000169753999"/>
    <n v="1.18285000324249"/>
    <n v="1.17894995212554"/>
    <n v="1.1808999776840201"/>
    <n v="23098"/>
    <n v="1.1807800054550099"/>
    <n v="-7.4000358581538495E-4"/>
    <s v="DOWN"/>
    <n v="1.18076500415802"/>
    <n v="7.1001052856400904E-5"/>
    <s v="UP"/>
    <n v="1.50012969970525E-5"/>
    <x v="1"/>
    <x v="499"/>
    <n v="-5.0674598570054101"/>
    <s v="DOWN"/>
    <n v="1.1800999641418399"/>
    <n v="1.1793999671936"/>
    <n v="1.1815500259399401"/>
    <n v="1.1811499595642001"/>
    <x v="0"/>
    <n v="0"/>
    <n v="0"/>
    <n v="0"/>
  </r>
  <r>
    <d v="2025-09-09T00:00:00"/>
    <s v="15:00:00+00:00"/>
    <n v="1.1788500547409"/>
    <n v="1.1798000335693299"/>
    <n v="1.17830002307891"/>
    <n v="1.1797000169753999"/>
    <n v="24289"/>
    <n v="1.1801500082015901"/>
    <n v="-6.2999725341783498E-4"/>
    <s v="DOWN"/>
    <n v="1.1808290052413899"/>
    <n v="6.4001083374121096E-5"/>
    <s v="UP"/>
    <n v="-6.78997039794904E-4"/>
    <x v="0"/>
    <x v="500"/>
    <n v="-3.17096394752366"/>
    <s v="DOWN"/>
    <n v="1.17894995212554"/>
    <n v="1.1800999641418399"/>
    <n v="1.18285000324249"/>
    <n v="1.1815500259399401"/>
    <x v="0"/>
    <n v="0"/>
    <n v="0"/>
    <n v="0"/>
  </r>
  <r>
    <d v="2025-09-09T00:00:00"/>
    <s v="16:00:00+00:00"/>
    <n v="1.1785500049591"/>
    <n v="1.1796499490737899"/>
    <n v="1.1785500049591"/>
    <n v="1.17890000343322"/>
    <n v="1531"/>
    <n v="1.1796800136566099"/>
    <n v="-4.6999454498308698E-4"/>
    <s v="DOWN"/>
    <n v="1.1807950043678199"/>
    <n v="-3.4000873565753703E-5"/>
    <s v="DOWN"/>
    <n v="-1.1149907112122299E-3"/>
    <x v="0"/>
    <x v="501"/>
    <n v="-1.07985739488987"/>
    <s v="DOWN"/>
    <n v="1.17830002307891"/>
    <n v="1.17894995212554"/>
    <n v="1.1798000335693299"/>
    <n v="1.18285000324249"/>
    <x v="0"/>
    <n v="0"/>
    <n v="0"/>
    <n v="0"/>
  </r>
  <r>
    <d v="2025-09-09T00:00:00"/>
    <s v="17:00:00+00:00"/>
    <n v="1.1776000261306701"/>
    <n v="1.17900002002716"/>
    <n v="1.1775499582290601"/>
    <n v="1.17859995365142"/>
    <n v="1806"/>
    <n v="1.17912001609802"/>
    <n v="-5.5999755859370505E-4"/>
    <s v="DOWN"/>
    <n v="1.18071300506591"/>
    <n v="-8.1999301910329296E-5"/>
    <s v="DOWN"/>
    <n v="-1.5929889678956101E-3"/>
    <x v="0"/>
    <x v="502"/>
    <n v="-3.2573271847540801"/>
    <s v="DOWN"/>
    <n v="1.1785500049591"/>
    <n v="1.17830002307891"/>
    <n v="1.1796499490737899"/>
    <n v="1.1798000335693299"/>
    <x v="0"/>
    <n v="0"/>
    <n v="0"/>
    <n v="0"/>
  </r>
  <r>
    <d v="2025-09-09T00:00:00"/>
    <s v="18:00:00+00:00"/>
    <n v="1.1773500442504801"/>
    <n v="1.17809998989105"/>
    <n v="1.1770499944686801"/>
    <n v="1.1775000095367401"/>
    <n v="1995"/>
    <n v="1.17841002941131"/>
    <n v="-7.0998668670640898E-4"/>
    <s v="DOWN"/>
    <n v="1.18065000534057"/>
    <n v="-6.2999725341850098E-5"/>
    <s v="DOWN"/>
    <n v="-2.2399759292601701E-3"/>
    <x v="0"/>
    <x v="503"/>
    <n v="-0.82005758671661499"/>
    <s v="DOWN"/>
    <n v="1.1775499582290601"/>
    <n v="1.1785500049591"/>
    <n v="1.17900002002716"/>
    <n v="1.1796499490737899"/>
    <x v="0"/>
    <n v="0"/>
    <n v="0"/>
    <n v="0"/>
  </r>
  <r>
    <d v="2025-09-09T00:00:00"/>
    <s v="19:00:00+00:00"/>
    <n v="1.1772999763488701"/>
    <n v="1.1776000261306701"/>
    <n v="1.1770499944686801"/>
    <n v="1.1773500442504801"/>
    <n v="1522"/>
    <n v="1.17793002128601"/>
    <n v="-4.8000812530535298E-4"/>
    <s v="DOWN"/>
    <n v="1.18054200410842"/>
    <n v="-1.0800123214727001E-4"/>
    <s v="DOWN"/>
    <n v="-2.6119828224182499E-3"/>
    <x v="0"/>
    <x v="504"/>
    <n v="-0.17160907387319899"/>
    <s v="DOWN"/>
    <n v="1.1770499944686801"/>
    <n v="1.1775499582290601"/>
    <n v="1.17809998989105"/>
    <n v="1.17900002002716"/>
    <x v="0"/>
    <n v="0"/>
    <n v="0"/>
    <n v="0"/>
  </r>
  <r>
    <d v="2025-09-09T00:00:00"/>
    <s v="20:00:00+00:00"/>
    <n v="1.1775000095367401"/>
    <n v="1.17780005931854"/>
    <n v="1.1771500110626201"/>
    <n v="1.1772999763488701"/>
    <n v="4298"/>
    <n v="1.1776600122451699"/>
    <n v="-2.7000904083251899E-4"/>
    <s v="DOWN"/>
    <n v="1.1804770040512"/>
    <n v="-6.5000057220432298E-5"/>
    <s v="DOWN"/>
    <n v="-2.8169918060303402E-3"/>
    <x v="0"/>
    <x v="505"/>
    <n v="1.50629635567969"/>
    <s v="UP"/>
    <n v="1.1770499944686801"/>
    <n v="1.1770499944686801"/>
    <n v="1.1776000261306701"/>
    <n v="1.17809998989105"/>
    <x v="0"/>
    <n v="0"/>
    <n v="0"/>
    <n v="0"/>
  </r>
  <r>
    <d v="2025-09-09T00:00:00"/>
    <s v="22:00:00+00:00"/>
    <n v="1.17780005931854"/>
    <n v="1.17799997329711"/>
    <n v="1.1774499416351301"/>
    <n v="1.17799997329711"/>
    <n v="0"/>
    <n v="1.1775100231170601"/>
    <n v="-1.4998912811270399E-4"/>
    <s v="DOWN"/>
    <n v="1.1804440045356701"/>
    <n v="-3.2999515533482698E-5"/>
    <s v="DOWN"/>
    <n v="-2.9339814186095602E-3"/>
    <x v="0"/>
    <x v="506"/>
    <n v="2.2965991223228799"/>
    <s v="UP"/>
    <n v="1.1771500110626201"/>
    <n v="1.1770499944686801"/>
    <n v="1.17780005931854"/>
    <n v="1.1776000261306701"/>
    <x v="0"/>
    <n v="0"/>
    <n v="0"/>
    <n v="0"/>
  </r>
  <r>
    <d v="2025-09-09T00:00:00"/>
    <s v="23:00:00+00:00"/>
    <n v="1.1769000291824301"/>
    <n v="1.17774999141693"/>
    <n v="1.1763499975204399"/>
    <n v="1.17774999141693"/>
    <n v="579"/>
    <n v="1.1773700237274101"/>
    <n v="-1.3999938964848099E-4"/>
    <s v="DOWN"/>
    <n v="1.18041100502014"/>
    <n v="-3.2999515533482698E-5"/>
    <s v="DOWN"/>
    <n v="-3.0409812927245602E-3"/>
    <x v="0"/>
    <x v="507"/>
    <n v="-3.6360288492644601"/>
    <s v="DOWN"/>
    <n v="1.1774499416351301"/>
    <n v="1.1771500110626201"/>
    <n v="1.17799997329711"/>
    <n v="1.17780005931854"/>
    <x v="0"/>
    <n v="1"/>
    <n v="0"/>
    <n v="0"/>
  </r>
  <r>
    <d v="2025-09-10T00:00:00"/>
    <s v="00:00:00+00:00"/>
    <n v="1.1763000488281199"/>
    <n v="1.1768000125885001"/>
    <n v="1.1762000322341899"/>
    <n v="1.1767499446868801"/>
    <n v="332"/>
    <n v="1.1771600246429399"/>
    <n v="-2.09999084472611E-4"/>
    <s v="DOWN"/>
    <n v="1.1803670048713599"/>
    <n v="-4.4000148773148903E-5"/>
    <s v="DOWN"/>
    <n v="-3.2069802284240201E-3"/>
    <x v="0"/>
    <x v="508"/>
    <n v="-2.18895835649186"/>
    <s v="DOWN"/>
    <n v="1.1763499975204399"/>
    <n v="1.1774499416351301"/>
    <n v="1.17774999141693"/>
    <n v="1.17799997329711"/>
    <x v="0"/>
    <n v="0"/>
    <n v="0"/>
    <n v="0"/>
  </r>
  <r>
    <d v="2025-09-10T00:00:00"/>
    <s v="01:00:00+00:00"/>
    <n v="1.1765500307083101"/>
    <n v="1.1768000125885001"/>
    <n v="1.1755000352859399"/>
    <n v="1.1762499809265099"/>
    <n v="2389"/>
    <n v="1.1770100355148301"/>
    <n v="-1.4998912811270399E-4"/>
    <s v="DOWN"/>
    <n v="1.1803290057182301"/>
    <n v="-3.7999153137180298E-5"/>
    <s v="DOWN"/>
    <n v="-3.3189702033995499E-3"/>
    <x v="0"/>
    <x v="509"/>
    <n v="2.0487938559810601"/>
    <s v="UP"/>
    <n v="1.1762000322341899"/>
    <n v="1.1763499975204399"/>
    <n v="1.1768000125885001"/>
    <n v="1.17774999141693"/>
    <x v="0"/>
    <n v="0"/>
    <n v="0"/>
    <n v="0"/>
  </r>
  <r>
    <d v="2025-09-10T00:00:00"/>
    <s v="02:00:00+00:00"/>
    <n v="1.1772999763488701"/>
    <n v="1.1773999929428101"/>
    <n v="1.1764999628067001"/>
    <n v="1.1764999628067001"/>
    <n v="3458"/>
    <n v="1.17697002887725"/>
    <n v="-4.0006637573419803E-5"/>
    <s v="DOWN"/>
    <n v="1.1803270053863499"/>
    <n v="-2.0003318785821699E-6"/>
    <s v="DOWN"/>
    <n v="-3.3569765090943802E-3"/>
    <x v="0"/>
    <x v="510"/>
    <n v="5.8677851940929298"/>
    <s v="UP"/>
    <n v="1.1755000352859399"/>
    <n v="1.1762000322341899"/>
    <n v="1.1768000125885001"/>
    <n v="1.1768000125885001"/>
    <x v="0"/>
    <n v="0"/>
    <n v="0"/>
    <n v="0"/>
  </r>
  <r>
    <d v="2025-09-10T00:00:00"/>
    <s v="03:00:00+00:00"/>
    <n v="1.1773999929428101"/>
    <n v="1.1776000261306701"/>
    <n v="1.1772500276565501"/>
    <n v="1.1772500276565501"/>
    <n v="392"/>
    <n v="1.17689001560211"/>
    <n v="-8.0013275146395503E-5"/>
    <s v="DOWN"/>
    <n v="1.1803140044212299"/>
    <n v="-1.3000965118470299E-5"/>
    <s v="DOWN"/>
    <n v="-3.4239888191223101E-3"/>
    <x v="0"/>
    <x v="511"/>
    <n v="0.76023425062329097"/>
    <s v="UP"/>
    <n v="1.1764999628067001"/>
    <n v="1.1755000352859399"/>
    <n v="1.1773999929428101"/>
    <n v="1.1768000125885001"/>
    <x v="0"/>
    <n v="0"/>
    <n v="0"/>
    <n v="0"/>
  </r>
  <r>
    <d v="2025-09-10T00:00:00"/>
    <s v="04:00:00+00:00"/>
    <n v="1.17809998989105"/>
    <n v="1.17809998989105"/>
    <n v="1.1772999763488701"/>
    <n v="1.1772999763488701"/>
    <n v="737"/>
    <n v="1.17713000774383"/>
    <n v="2.3999214172354399E-4"/>
    <s v="UP"/>
    <n v="1.1803140044212299"/>
    <n v="0"/>
    <s v="DOWN"/>
    <n v="-3.18399667739877E-3"/>
    <x v="0"/>
    <x v="512"/>
    <n v="5.1794930744714502"/>
    <s v="UP"/>
    <n v="1.1772500276565501"/>
    <n v="1.1764999628067001"/>
    <n v="1.1776000261306701"/>
    <n v="1.1773999929428101"/>
    <x v="0"/>
    <n v="0"/>
    <n v="0"/>
    <n v="0"/>
  </r>
  <r>
    <d v="2025-09-10T00:00:00"/>
    <s v="05:00:00+00:00"/>
    <n v="1.1775000095367401"/>
    <n v="1.17815005779266"/>
    <n v="1.1770999431610101"/>
    <n v="1.17805004119873"/>
    <n v="1582"/>
    <n v="1.17736999988555"/>
    <n v="2.3999214172376601E-4"/>
    <s v="UP"/>
    <n v="1.1803050041198699"/>
    <n v="-9.0003013610839793E-6"/>
    <s v="DOWN"/>
    <n v="-2.93500423431392E-3"/>
    <x v="0"/>
    <x v="513"/>
    <n v="-3.2034452495331398"/>
    <s v="DOWN"/>
    <n v="1.1772999763488701"/>
    <n v="1.1772500276565501"/>
    <n v="1.17809998989105"/>
    <n v="1.1776000261306701"/>
    <x v="0"/>
    <n v="0"/>
    <n v="0"/>
    <n v="0"/>
  </r>
  <r>
    <d v="2025-09-10T00:00:00"/>
    <s v="06:00:00+00:00"/>
    <n v="1.1763999462127599"/>
    <n v="1.17840003967285"/>
    <n v="1.1757999658584499"/>
    <n v="1.1775000095367401"/>
    <n v="3903"/>
    <n v="1.1773399829864499"/>
    <n v="-3.0016899108975499E-5"/>
    <s v="DOWN"/>
    <n v="1.18026800394058"/>
    <n v="-3.7000179290869103E-5"/>
    <s v="DOWN"/>
    <n v="-2.9280209541320198E-3"/>
    <x v="0"/>
    <x v="514"/>
    <n v="-5.13045783878602"/>
    <s v="DOWN"/>
    <n v="1.1770999431610101"/>
    <n v="1.1772999763488701"/>
    <n v="1.17815005779266"/>
    <n v="1.17809998989105"/>
    <x v="0"/>
    <n v="0"/>
    <n v="0"/>
    <n v="0"/>
  </r>
  <r>
    <d v="2025-09-10T00:00:00"/>
    <s v="07:00:00+00:00"/>
    <n v="1.1769000291824301"/>
    <n v="1.1773999929428101"/>
    <n v="1.17490005493164"/>
    <n v="1.1763999462127599"/>
    <n v="44747"/>
    <n v="1.17725999355316"/>
    <n v="-7.9989433288574205E-5"/>
    <s v="DOWN"/>
    <n v="1.1802520036697299"/>
    <n v="-1.60002708433637E-5"/>
    <s v="DOWN"/>
    <n v="-2.9920101165772299E-3"/>
    <x v="0"/>
    <x v="515"/>
    <n v="3.71416471028666"/>
    <s v="UP"/>
    <n v="1.1757999658584499"/>
    <n v="1.1770999431610101"/>
    <n v="1.17840003967285"/>
    <n v="1.17815005779266"/>
    <x v="0"/>
    <n v="1"/>
    <n v="0"/>
    <n v="0"/>
  </r>
  <r>
    <d v="2025-09-10T00:00:00"/>
    <s v="08:00:00+00:00"/>
    <n v="1.1765999794006301"/>
    <n v="1.1769499778747501"/>
    <n v="1.1757500171661299"/>
    <n v="1.1769000291824301"/>
    <n v="49835"/>
    <n v="1.1770999908447199"/>
    <n v="-1.6000270843496899E-4"/>
    <s v="DOWN"/>
    <n v="1.1802230024337701"/>
    <n v="-2.90012359620561E-5"/>
    <s v="DOWN"/>
    <n v="-3.12301158905015E-3"/>
    <x v="0"/>
    <x v="516"/>
    <n v="-1.42295710462997"/>
    <s v="DOWN"/>
    <n v="1.17490005493164"/>
    <n v="1.1757999658584499"/>
    <n v="1.1773999929428101"/>
    <n v="1.17840003967285"/>
    <x v="0"/>
    <n v="0"/>
    <n v="0"/>
    <n v="0"/>
  </r>
  <r>
    <d v="2025-09-10T00:00:00"/>
    <s v="09:00:00+00:00"/>
    <n v="1.17785000801086"/>
    <n v="1.17830002307891"/>
    <n v="1.1764500141143699"/>
    <n v="1.1764999628067001"/>
    <n v="58852"/>
    <n v="1.1770499944686801"/>
    <n v="-4.9996376037641997E-5"/>
    <s v="DOWN"/>
    <n v="1.18021500349044"/>
    <n v="-7.9989433288130096E-6"/>
    <s v="DOWN"/>
    <n v="-3.1650090217589799E-3"/>
    <x v="0"/>
    <x v="517"/>
    <n v="8.6164084127664395"/>
    <s v="UP"/>
    <n v="1.1757500171661299"/>
    <n v="1.17490005493164"/>
    <n v="1.1769499778747501"/>
    <n v="1.1773999929428101"/>
    <x v="0"/>
    <n v="0"/>
    <n v="0"/>
    <n v="0"/>
  </r>
  <r>
    <d v="2025-09-10T00:00:00"/>
    <s v="10:00:00+00:00"/>
    <n v="1.1766500473022401"/>
    <n v="1.17805004119873"/>
    <n v="1.1763000488281199"/>
    <n v="1.17795002460479"/>
    <n v="9433"/>
    <n v="1.17688000202178"/>
    <n v="-1.6999244689941401E-4"/>
    <s v="DOWN"/>
    <n v="1.1801590037345799"/>
    <n v="-5.59997558593483E-5"/>
    <s v="DOWN"/>
    <n v="-3.27900171279904E-3"/>
    <x v="0"/>
    <x v="518"/>
    <n v="-5.8716707988539403"/>
    <s v="DOWN"/>
    <n v="1.1764500141143699"/>
    <n v="1.1757500171661299"/>
    <n v="1.17830002307891"/>
    <n v="1.1769499778747501"/>
    <x v="0"/>
    <n v="0"/>
    <n v="0"/>
    <n v="0"/>
  </r>
  <r>
    <d v="2025-09-10T00:00:00"/>
    <s v="11:00:00+00:00"/>
    <n v="1.1770499944686801"/>
    <n v="1.1772999763488701"/>
    <n v="1.1761499643325799"/>
    <n v="1.1765999794006301"/>
    <n v="42705"/>
    <n v="1.17701001167297"/>
    <n v="1.30009651184037E-4"/>
    <s v="UP"/>
    <n v="1.1801000046729999"/>
    <n v="-5.89990615844637E-5"/>
    <s v="DOWN"/>
    <n v="-3.0899930000305399E-3"/>
    <x v="0"/>
    <x v="519"/>
    <n v="2.5559280400108899"/>
    <s v="UP"/>
    <n v="1.1763000488281199"/>
    <n v="1.1764500141143699"/>
    <n v="1.17805004119873"/>
    <n v="1.17830002307891"/>
    <x v="0"/>
    <n v="0"/>
    <n v="0"/>
    <n v="0"/>
  </r>
  <r>
    <d v="2025-09-10T00:00:00"/>
    <s v="12:00:00+00:00"/>
    <n v="1.1766500473022401"/>
    <n v="1.17935001850128"/>
    <n v="1.1757500171661299"/>
    <n v="1.1771500110626201"/>
    <n v="30146"/>
    <n v="1.17696001529693"/>
    <n v="-4.9996376037641997E-5"/>
    <s v="DOWN"/>
    <n v="1.18003600597381"/>
    <n v="-6.39986991881613E-5"/>
    <s v="DOWN"/>
    <n v="-3.0759906768800202E-3"/>
    <x v="0"/>
    <x v="520"/>
    <n v="-1.9277833856389699"/>
    <s v="DOWN"/>
    <n v="1.1761499643325799"/>
    <n v="1.1763000488281199"/>
    <n v="1.1772999763488701"/>
    <n v="1.17805004119873"/>
    <x v="0"/>
    <n v="0"/>
    <n v="0"/>
    <n v="0"/>
  </r>
  <r>
    <d v="2025-09-10T00:00:00"/>
    <s v="13:00:00+00:00"/>
    <n v="1.1785500049591"/>
    <n v="1.17904996871948"/>
    <n v="1.1761499643325799"/>
    <n v="1.1764999628067001"/>
    <n v="47538"/>
    <n v="1.17735002040863"/>
    <n v="3.9000511169451298E-4"/>
    <s v="UP"/>
    <n v="1.18002300500869"/>
    <n v="-1.3000965118470299E-5"/>
    <s v="DOWN"/>
    <n v="-2.6729846000670401E-3"/>
    <x v="0"/>
    <x v="521"/>
    <n v="10.8468771831857"/>
    <s v="UP"/>
    <n v="1.1757500171661299"/>
    <n v="1.1761499643325799"/>
    <n v="1.17935001850128"/>
    <n v="1.1772999763488701"/>
    <x v="0"/>
    <n v="0"/>
    <n v="0"/>
    <n v="0"/>
  </r>
  <r>
    <d v="2025-09-10T00:00:00"/>
    <s v="14:00:00+00:00"/>
    <n v="1.17929995059967"/>
    <n v="1.1796499490737899"/>
    <n v="1.17815005779266"/>
    <n v="1.17859995365142"/>
    <n v="39886"/>
    <n v="1.1776400089263901"/>
    <n v="2.8998851776118601E-4"/>
    <s v="UP"/>
    <n v="1.1800220036506599"/>
    <n v="-1.0013580322709699E-6"/>
    <s v="DOWN"/>
    <n v="-2.38199472427358E-3"/>
    <x v="0"/>
    <x v="522"/>
    <n v="3.4824053078572499"/>
    <s v="UP"/>
    <n v="1.1761499643325799"/>
    <n v="1.1757500171661299"/>
    <n v="1.17904996871948"/>
    <n v="1.17935001850128"/>
    <x v="1"/>
    <n v="0"/>
    <n v="0"/>
    <n v="0"/>
  </r>
  <r>
    <d v="2025-09-10T00:00:00"/>
    <s v="15:00:00+00:00"/>
    <n v="1.17809998989105"/>
    <n v="1.17960000038146"/>
    <n v="1.17795002460479"/>
    <n v="1.17935001850128"/>
    <n v="29294"/>
    <n v="1.1779299974441499"/>
    <n v="2.8998851776118601E-4"/>
    <s v="UP"/>
    <n v="1.1799910044670101"/>
    <n v="-3.09991836546785E-5"/>
    <s v="DOWN"/>
    <n v="-2.0610070228577102E-3"/>
    <x v="0"/>
    <x v="523"/>
    <n v="-6.2321076936513702"/>
    <s v="DOWN"/>
    <n v="1.17815005779266"/>
    <n v="1.1761499643325799"/>
    <n v="1.1796499490737899"/>
    <n v="1.17904996871948"/>
    <x v="0"/>
    <n v="0"/>
    <n v="0"/>
    <n v="0"/>
  </r>
  <r>
    <d v="2025-09-10T00:00:00"/>
    <s v="16:00:00+00:00"/>
    <n v="1.1770999431610101"/>
    <n v="1.1782499551773"/>
    <n v="1.1769000291824301"/>
    <n v="1.17799997329711"/>
    <n v="20564"/>
    <n v="1.1779399871826099"/>
    <n v="9.9897384644442798E-6"/>
    <s v="UP"/>
    <n v="1.1799220037460301"/>
    <n v="-6.9000720977818703E-5"/>
    <s v="DOWN"/>
    <n v="-1.9820165634154498E-3"/>
    <x v="0"/>
    <x v="524"/>
    <n v="-4.5155778619057703"/>
    <s v="DOWN"/>
    <n v="1.17795002460479"/>
    <n v="1.17815005779266"/>
    <n v="1.17960000038146"/>
    <n v="1.1796499490737899"/>
    <x v="0"/>
    <n v="0"/>
    <n v="0"/>
    <n v="0"/>
  </r>
  <r>
    <d v="2025-09-10T00:00:00"/>
    <s v="17:00:00+00:00"/>
    <n v="1.1771500110626201"/>
    <n v="1.1776499748229901"/>
    <n v="1.1767499446868801"/>
    <n v="1.1771999597549401"/>
    <n v="2898"/>
    <n v="1.1780399799346899"/>
    <n v="9.9992752075062004E-5"/>
    <s v="UP"/>
    <n v="1.17982800483703"/>
    <n v="-9.39989089965287E-5"/>
    <s v="DOWN"/>
    <n v="-1.78802490234386E-3"/>
    <x v="0"/>
    <x v="525"/>
    <n v="0.268805546096473"/>
    <s v="UP"/>
    <n v="1.1769000291824301"/>
    <n v="1.17795002460479"/>
    <n v="1.1782499551773"/>
    <n v="1.17960000038146"/>
    <x v="0"/>
    <n v="0"/>
    <n v="0"/>
    <n v="0"/>
  </r>
  <r>
    <d v="2025-09-10T00:00:00"/>
    <s v="18:00:00+00:00"/>
    <n v="1.1770999431610101"/>
    <n v="1.17774999141693"/>
    <n v="1.1769000291824301"/>
    <n v="1.1771500110626201"/>
    <n v="2992"/>
    <n v="1.17774996757507"/>
    <n v="-2.9001235961900702E-4"/>
    <s v="DOWN"/>
    <n v="1.1797450041770901"/>
    <n v="-8.3000659942600294E-5"/>
    <s v="DOWN"/>
    <n v="-1.99503660202027E-3"/>
    <x v="0"/>
    <x v="526"/>
    <n v="-0.237297539532903"/>
    <s v="DOWN"/>
    <n v="1.1767499446868801"/>
    <n v="1.1769000291824301"/>
    <n v="1.1776499748229901"/>
    <n v="1.1782499551773"/>
    <x v="0"/>
    <n v="0"/>
    <n v="0"/>
    <n v="0"/>
  </r>
  <r>
    <d v="2025-09-10T00:00:00"/>
    <s v="19:00:00+00:00"/>
    <n v="1.1766500473022401"/>
    <n v="1.1770999431610101"/>
    <n v="1.1758999824523899"/>
    <n v="1.1770499944686801"/>
    <n v="2934"/>
    <n v="1.1772199869155799"/>
    <n v="-5.2998065948495199E-4"/>
    <s v="DOWN"/>
    <n v="1.17964200496673"/>
    <n v="-1.02999210357834E-4"/>
    <s v="DOWN"/>
    <n v="-2.4220180511473899E-3"/>
    <x v="0"/>
    <x v="527"/>
    <n v="-2.1740702698501702"/>
    <s v="DOWN"/>
    <n v="1.1769000291824301"/>
    <n v="1.1767499446868801"/>
    <n v="1.17774999141693"/>
    <n v="1.1776499748229901"/>
    <x v="0"/>
    <n v="0"/>
    <n v="0"/>
    <n v="0"/>
  </r>
  <r>
    <d v="2025-09-10T00:00:00"/>
    <s v="20:00:00+00:00"/>
    <n v="1.1759500503539999"/>
    <n v="1.1767499446868801"/>
    <n v="1.1758999824523899"/>
    <n v="1.1765999794006301"/>
    <n v="0"/>
    <n v="1.1767899990081701"/>
    <n v="-4.2998790740966699E-4"/>
    <s v="DOWN"/>
    <n v="1.1795440053939801"/>
    <n v="-9.7999572753915105E-5"/>
    <s v="DOWN"/>
    <n v="-2.7540063858031401E-3"/>
    <x v="0"/>
    <x v="528"/>
    <n v="-3.2077753008994101"/>
    <s v="DOWN"/>
    <n v="1.1758999824523899"/>
    <n v="1.1769000291824301"/>
    <n v="1.1770999431610101"/>
    <n v="1.17774999141693"/>
    <x v="0"/>
    <n v="0"/>
    <n v="0"/>
    <n v="0"/>
  </r>
  <r>
    <d v="2025-09-10T00:00:00"/>
    <s v="22:00:00+00:00"/>
    <n v="1.1766500473022401"/>
    <n v="1.1766999959945601"/>
    <n v="1.1762000322341899"/>
    <n v="1.1763499975204399"/>
    <n v="590"/>
    <n v="1.1767000198364199"/>
    <n v="-8.9979171753018505E-5"/>
    <s v="DOWN"/>
    <n v="1.1794630074501"/>
    <n v="-8.0997943878058297E-5"/>
    <s v="DOWN"/>
    <n v="-2.7629876136780998E-3"/>
    <x v="0"/>
    <x v="529"/>
    <n v="4.4966290953000998"/>
    <s v="UP"/>
    <n v="1.1758999824523899"/>
    <n v="1.1758999824523899"/>
    <n v="1.1767499446868801"/>
    <n v="1.1770999431610101"/>
    <x v="0"/>
    <n v="0"/>
    <n v="0"/>
    <n v="0"/>
  </r>
  <r>
    <d v="2025-09-10T00:00:00"/>
    <s v="23:00:00+00:00"/>
    <n v="1.1765999794006301"/>
    <n v="1.1770000457763601"/>
    <n v="1.1764999628067001"/>
    <n v="1.1765999794006301"/>
    <n v="209"/>
    <n v="1.1765900135040199"/>
    <n v="-1.1000633239732701E-4"/>
    <s v="DOWN"/>
    <n v="1.1793370079994201"/>
    <n v="-1.2599945068370001E-4"/>
    <s v="DOWN"/>
    <n v="-2.7469944953917298E-3"/>
    <x v="0"/>
    <x v="530"/>
    <n v="-0.25221127460039799"/>
    <s v="DOWN"/>
    <n v="1.1762000322341899"/>
    <n v="1.1758999824523899"/>
    <n v="1.1766999959945601"/>
    <n v="1.1767499446868801"/>
    <x v="0"/>
    <n v="0"/>
    <n v="0"/>
    <n v="0"/>
  </r>
  <r>
    <d v="2025-09-11T00:00:00"/>
    <s v="00:00:00+00:00"/>
    <n v="1.1757500171661299"/>
    <n v="1.1765500307083101"/>
    <n v="1.1757500171661299"/>
    <n v="1.1765500307083101"/>
    <n v="546"/>
    <n v="1.1763200283050499"/>
    <n v="-2.6998519897469798E-4"/>
    <s v="DOWN"/>
    <n v="1.1791920089721599"/>
    <n v="-1.4499902725217899E-4"/>
    <s v="DOWN"/>
    <n v="-2.8719806671142398E-3"/>
    <x v="0"/>
    <x v="531"/>
    <n v="-4.1513120858022097"/>
    <s v="DOWN"/>
    <n v="1.1764999628067001"/>
    <n v="1.1762000322341899"/>
    <n v="1.1770000457763601"/>
    <n v="1.1766999959945601"/>
    <x v="0"/>
    <n v="0"/>
    <n v="0"/>
    <n v="0"/>
  </r>
  <r>
    <d v="2025-09-11T00:00:00"/>
    <s v="01:00:00+00:00"/>
    <n v="1.1760499477386399"/>
    <n v="1.1765999794006301"/>
    <n v="1.1756000518798799"/>
    <n v="1.1756999492645199"/>
    <n v="271"/>
    <n v="1.1762000083923301"/>
    <n v="-1.20019912719593E-4"/>
    <s v="DOWN"/>
    <n v="1.17905000686645"/>
    <n v="-1.4200210571280099E-4"/>
    <s v="DOWN"/>
    <n v="-2.84999847412104E-3"/>
    <x v="0"/>
    <x v="532"/>
    <n v="2.0881710354458698"/>
    <s v="UP"/>
    <n v="1.1757500171661299"/>
    <n v="1.1764999628067001"/>
    <n v="1.1765500307083101"/>
    <n v="1.1770000457763601"/>
    <x v="0"/>
    <n v="0"/>
    <n v="0"/>
    <n v="0"/>
  </r>
  <r>
    <d v="2025-09-11T00:00:00"/>
    <s v="02:00:00+00:00"/>
    <n v="1.1759999990463199"/>
    <n v="1.1762499809265099"/>
    <n v="1.1756999492645199"/>
    <n v="1.1760499477386399"/>
    <n v="380"/>
    <n v="1.1762099981307901"/>
    <n v="9.9897384642222403E-6"/>
    <s v="UP"/>
    <n v="1.1789120078086801"/>
    <n v="-1.37999057769899E-4"/>
    <s v="DOWN"/>
    <n v="-2.7020096778869098E-3"/>
    <x v="0"/>
    <x v="533"/>
    <n v="-0.25868330222497998"/>
    <s v="DOWN"/>
    <n v="1.1756000518798799"/>
    <n v="1.1757500171661299"/>
    <n v="1.1765999794006301"/>
    <n v="1.1765500307083101"/>
    <x v="0"/>
    <n v="0"/>
    <n v="0"/>
    <n v="0"/>
  </r>
  <r>
    <d v="2025-09-11T00:00:00"/>
    <s v="03:00:00+00:00"/>
    <n v="1.1758999824523899"/>
    <n v="1.1763499975204399"/>
    <n v="1.1757999658584499"/>
    <n v="1.1759999990463199"/>
    <n v="225"/>
    <n v="1.17605998516082"/>
    <n v="-1.5001296997074699E-4"/>
    <s v="DOWN"/>
    <n v="1.1787600064277599"/>
    <n v="-1.5200138092041901E-4"/>
    <s v="DOWN"/>
    <n v="-2.70002126693724E-3"/>
    <x v="0"/>
    <x v="534"/>
    <n v="-0.54709120857970805"/>
    <s v="DOWN"/>
    <n v="1.1756999492645199"/>
    <n v="1.1756000518798799"/>
    <n v="1.1762499809265099"/>
    <n v="1.1765999794006301"/>
    <x v="0"/>
    <n v="0"/>
    <n v="0"/>
    <n v="0"/>
  </r>
  <r>
    <d v="2025-09-11T00:00:00"/>
    <s v="04:00:00+00:00"/>
    <n v="1.1762499809265099"/>
    <n v="1.1762499809265099"/>
    <n v="1.1757500171661299"/>
    <n v="1.1759500503539999"/>
    <n v="211"/>
    <n v="1.1759899854660001"/>
    <n v="-6.9999694824129905E-5"/>
    <s v="DOWN"/>
    <n v="1.17860900640487"/>
    <n v="-1.5100002288814801E-4"/>
    <s v="DOWN"/>
    <n v="-2.6190209388732202E-3"/>
    <x v="0"/>
    <x v="535"/>
    <n v="2.7833646500667002"/>
    <s v="UP"/>
    <n v="1.1757999658584499"/>
    <n v="1.1756999492645199"/>
    <n v="1.1763499975204399"/>
    <n v="1.1762499809265099"/>
    <x v="0"/>
    <n v="0"/>
    <n v="0"/>
    <n v="0"/>
  </r>
  <r>
    <d v="2025-09-11T00:00:00"/>
    <s v="05:00:00+00:00"/>
    <n v="1.1753499507903999"/>
    <n v="1.1763000488281199"/>
    <n v="1.1753000020980799"/>
    <n v="1.1763000488281199"/>
    <n v="565"/>
    <n v="1.1759099721908499"/>
    <n v="-8.0013275146395503E-5"/>
    <s v="DOWN"/>
    <n v="1.1784330058097801"/>
    <n v="-1.7600059509281701E-4"/>
    <s v="DOWN"/>
    <n v="-2.5230336189268E-3"/>
    <x v="0"/>
    <x v="536"/>
    <n v="-5.0695981419720697"/>
    <s v="DOWN"/>
    <n v="1.1757500171661299"/>
    <n v="1.1757999658584499"/>
    <n v="1.1762499809265099"/>
    <n v="1.1763499975204399"/>
    <x v="0"/>
    <n v="0"/>
    <n v="0"/>
    <n v="0"/>
  </r>
  <r>
    <d v="2025-09-11T00:00:00"/>
    <s v="06:00:00+00:00"/>
    <n v="1.1754000186920099"/>
    <n v="1.1759999990463199"/>
    <n v="1.17470002174377"/>
    <n v="1.1753000020980799"/>
    <n v="3681"/>
    <n v="1.1757799863815299"/>
    <n v="-1.2998580932621601E-4"/>
    <s v="DOWN"/>
    <n v="1.1782700061797999"/>
    <n v="-1.6299962997434701E-4"/>
    <s v="DOWN"/>
    <n v="-2.4900197982786702E-3"/>
    <x v="0"/>
    <x v="537"/>
    <n v="0.421296013222068"/>
    <s v="UP"/>
    <n v="1.1753000020980799"/>
    <n v="1.1757500171661299"/>
    <n v="1.1763000488281199"/>
    <n v="1.1762499809265099"/>
    <x v="0"/>
    <n v="0"/>
    <n v="0"/>
    <n v="0"/>
  </r>
  <r>
    <d v="2025-09-11T00:00:00"/>
    <s v="07:00:00+00:00"/>
    <n v="1.1756000518798799"/>
    <n v="1.1759500503539999"/>
    <n v="1.17499995231628"/>
    <n v="1.1754499673843299"/>
    <n v="12447"/>
    <n v="1.17569999694824"/>
    <n v="-7.9989433288574205E-5"/>
    <s v="DOWN"/>
    <n v="1.1781210064887999"/>
    <n v="-1.4899969100934301E-4"/>
    <s v="DOWN"/>
    <n v="-2.4210095405579001E-3"/>
    <x v="0"/>
    <x v="538"/>
    <n v="1.7484224499946901"/>
    <s v="UP"/>
    <n v="1.17470002174377"/>
    <n v="1.1753000020980799"/>
    <n v="1.1759999990463199"/>
    <n v="1.1763000488281199"/>
    <x v="0"/>
    <n v="0"/>
    <n v="0"/>
    <n v="0"/>
  </r>
  <r>
    <d v="2025-09-11T00:00:00"/>
    <s v="08:00:00+00:00"/>
    <n v="1.1756500005721999"/>
    <n v="1.1758999824523899"/>
    <n v="1.1751999855041499"/>
    <n v="1.1756500005721999"/>
    <n v="16327"/>
    <n v="1.1756500005721999"/>
    <n v="-4.9996376037641997E-5"/>
    <s v="DOWN"/>
    <n v="1.1779550075531"/>
    <n v="-1.65998935699462E-4"/>
    <s v="DOWN"/>
    <n v="-2.3050069808960801E-3"/>
    <x v="0"/>
    <x v="539"/>
    <n v="0.45314616139008002"/>
    <s v="UP"/>
    <n v="1.17499995231628"/>
    <n v="1.17470002174377"/>
    <n v="1.1759500503539999"/>
    <n v="1.1759999990463199"/>
    <x v="0"/>
    <n v="0"/>
    <n v="0"/>
    <n v="0"/>
  </r>
  <r>
    <d v="2025-09-11T00:00:00"/>
    <s v="09:00:00+00:00"/>
    <n v="1.17495000362396"/>
    <n v="1.1756999492645199"/>
    <n v="1.17414999008178"/>
    <n v="1.1755499839782699"/>
    <n v="37208"/>
    <n v="1.1753900051116899"/>
    <n v="-2.5999546051025298E-4"/>
    <s v="DOWN"/>
    <n v="1.1777630066871601"/>
    <n v="-1.9200086593640299E-4"/>
    <s v="DOWN"/>
    <n v="-2.37300157546993E-3"/>
    <x v="0"/>
    <x v="540"/>
    <n v="-4.2954819836306797"/>
    <s v="DOWN"/>
    <n v="1.1751999855041499"/>
    <n v="1.17499995231628"/>
    <n v="1.1758999824523899"/>
    <n v="1.1759500503539999"/>
    <x v="0"/>
    <n v="0"/>
    <n v="0"/>
    <n v="0"/>
  </r>
  <r>
    <d v="2025-09-11T00:00:00"/>
    <s v="10:00:00+00:00"/>
    <n v="1.17470002174377"/>
    <n v="1.1752500534057599"/>
    <n v="1.17429995536804"/>
    <n v="1.17495000362396"/>
    <n v="18390"/>
    <n v="1.1752600193023599"/>
    <n v="-1.2998580932621601E-4"/>
    <s v="DOWN"/>
    <n v="1.17759400606155"/>
    <n v="-1.6900062561031601E-4"/>
    <s v="DOWN"/>
    <n v="-2.3339867591858298E-3"/>
    <x v="0"/>
    <x v="541"/>
    <n v="-1.4237322204087399"/>
    <s v="DOWN"/>
    <n v="1.17414999008178"/>
    <n v="1.1751999855041499"/>
    <n v="1.1756999492645199"/>
    <n v="1.1758999824523899"/>
    <x v="0"/>
    <n v="0"/>
    <n v="0"/>
    <n v="0"/>
  </r>
  <r>
    <d v="2025-09-11T00:00:00"/>
    <s v="11:00:00+00:00"/>
    <n v="1.17474997043609"/>
    <n v="1.1755000352859399"/>
    <n v="1.17420005798339"/>
    <n v="1.17464995384216"/>
    <n v="7611"/>
    <n v="1.1751300096511801"/>
    <n v="-1.30009651184037E-4"/>
    <s v="DOWN"/>
    <n v="1.1774500060081401"/>
    <n v="-1.44000053405868E-4"/>
    <s v="DOWN"/>
    <n v="-2.319996356964E-3"/>
    <x v="0"/>
    <x v="542"/>
    <n v="0.52690485690130995"/>
    <s v="UP"/>
    <n v="1.17429995536804"/>
    <n v="1.17414999008178"/>
    <n v="1.1752500534057599"/>
    <n v="1.1756999492645199"/>
    <x v="0"/>
    <n v="0"/>
    <n v="0"/>
    <n v="0"/>
  </r>
  <r>
    <d v="2025-09-11T00:00:00"/>
    <s v="12:00:00+00:00"/>
    <n v="1.17780005931854"/>
    <n v="1.17834997177124"/>
    <n v="1.1717499494552599"/>
    <n v="1.17474997043609"/>
    <n v="39934"/>
    <n v="1.17557001113891"/>
    <n v="4.40001487731933E-4"/>
    <s v="UP"/>
    <n v="1.1773540067672701"/>
    <n v="-9.59992408751109E-5"/>
    <s v="DOWN"/>
    <n v="-1.78399562835696E-3"/>
    <x v="0"/>
    <x v="543"/>
    <n v="22.3354103377612"/>
    <s v="UP"/>
    <n v="1.17420005798339"/>
    <n v="1.17429995536804"/>
    <n v="1.1755000352859399"/>
    <n v="1.1752500534057599"/>
    <x v="0"/>
    <n v="1"/>
    <n v="0"/>
    <n v="0"/>
  </r>
  <r>
    <d v="2025-09-11T00:00:00"/>
    <s v="13:00:00+00:00"/>
    <n v="1.1801999807357699"/>
    <n v="1.1804499626159599"/>
    <n v="1.1777000427246"/>
    <n v="1.17785000801086"/>
    <n v="26962"/>
    <n v="1.1764800071716299"/>
    <n v="9.0999603271479902E-4"/>
    <s v="UP"/>
    <n v="1.17729000568389"/>
    <n v="-6.4001083374121096E-5"/>
    <s v="DOWN"/>
    <n v="-8.09998512268039E-4"/>
    <x v="0"/>
    <x v="544"/>
    <n v="9.4864356427950192"/>
    <s v="UP"/>
    <n v="1.1717499494552599"/>
    <n v="1.17420005798339"/>
    <n v="1.17834997177124"/>
    <n v="1.1755000352859399"/>
    <x v="0"/>
    <n v="0"/>
    <n v="0"/>
    <n v="0"/>
  </r>
  <r>
    <d v="2025-09-11T00:00:00"/>
    <s v="14:00:00+00:00"/>
    <n v="1.17910003662109"/>
    <n v="1.1807999610900799"/>
    <n v="1.17879998683929"/>
    <n v="1.1802500486373899"/>
    <n v="41132"/>
    <n v="1.1773100137710499"/>
    <n v="8.3000659942622501E-4"/>
    <s v="UP"/>
    <n v="1.17723200559616"/>
    <n v="-5.8000087737930501E-5"/>
    <s v="DOWN"/>
    <n v="7.8008174896115795E-5"/>
    <x v="1"/>
    <x v="545"/>
    <n v="-6.9016082221635298"/>
    <s v="DOWN"/>
    <n v="1.1777000427246"/>
    <n v="1.1717499494552599"/>
    <n v="1.1804499626159599"/>
    <n v="1.17834997177124"/>
    <x v="0"/>
    <n v="0"/>
    <n v="0"/>
    <n v="0"/>
  </r>
  <r>
    <d v="2025-09-11T00:00:00"/>
    <s v="15:00:00+00:00"/>
    <n v="1.17949998378753"/>
    <n v="1.1808999776840201"/>
    <n v="1.17894995212554"/>
    <n v="1.17904996871948"/>
    <n v="27028"/>
    <n v="1.1782700061797999"/>
    <n v="9.5999240875244097E-4"/>
    <s v="UP"/>
    <n v="1.17720400571823"/>
    <n v="-2.79998779297852E-5"/>
    <s v="DOWN"/>
    <n v="1.0660004615783399E-3"/>
    <x v="1"/>
    <x v="546"/>
    <n v="1.4857304446025299"/>
    <s v="UP"/>
    <n v="1.17879998683929"/>
    <n v="1.1777000427246"/>
    <n v="1.1807999610900799"/>
    <n v="1.1804499626159599"/>
    <x v="1"/>
    <n v="0"/>
    <n v="0"/>
    <n v="0"/>
  </r>
  <r>
    <d v="2025-09-11T00:00:00"/>
    <s v="16:00:00+00:00"/>
    <n v="1.1799499988555899"/>
    <n v="1.1802999973297099"/>
    <n v="1.1793999671936"/>
    <n v="1.17945003509521"/>
    <n v="20796"/>
    <n v="1.1793100118637001"/>
    <n v="1.0400056838990499E-3"/>
    <s v="UP"/>
    <n v="1.1771950054168701"/>
    <n v="-9.0003013610839793E-6"/>
    <s v="DOWN"/>
    <n v="2.1150064468384798E-3"/>
    <x v="1"/>
    <x v="547"/>
    <n v="1.6548957163220199"/>
    <s v="UP"/>
    <n v="1.17894995212554"/>
    <n v="1.17879998683929"/>
    <n v="1.1808999776840201"/>
    <n v="1.1807999610900799"/>
    <x v="0"/>
    <n v="0"/>
    <n v="0"/>
    <n v="0"/>
  </r>
  <r>
    <d v="2025-09-11T00:00:00"/>
    <s v="17:00:00+00:00"/>
    <n v="1.17949998378753"/>
    <n v="1.1801999807357699"/>
    <n v="1.17910003662109"/>
    <n v="1.1799999475479099"/>
    <n v="4770"/>
    <n v="1.1796499967575"/>
    <n v="3.3998489379882802E-4"/>
    <s v="UP"/>
    <n v="1.17716700553894"/>
    <n v="-2.7999877929563101E-5"/>
    <s v="DOWN"/>
    <n v="2.4829912185668698E-3"/>
    <x v="1"/>
    <x v="548"/>
    <n v="-2.9232117549614798"/>
    <s v="DOWN"/>
    <n v="1.1793999671936"/>
    <n v="1.17894995212554"/>
    <n v="1.1802999973297099"/>
    <n v="1.1808999776840201"/>
    <x v="0"/>
    <n v="0"/>
    <n v="0"/>
    <n v="0"/>
  </r>
  <r>
    <d v="2025-09-11T00:00:00"/>
    <s v="18:00:00+00:00"/>
    <n v="1.1799000501632599"/>
    <n v="1.1801500320434499"/>
    <n v="1.1793999671936"/>
    <n v="1.17949998378753"/>
    <n v="25144"/>
    <n v="1.179590010643"/>
    <n v="-5.9986114502086298E-5"/>
    <s v="DOWN"/>
    <n v="1.1771710062026901"/>
    <n v="4.0006637571643399E-6"/>
    <s v="UP"/>
    <n v="2.41900444030762E-3"/>
    <x v="1"/>
    <x v="549"/>
    <n v="1.61360253439389"/>
    <s v="UP"/>
    <n v="1.17910003662109"/>
    <n v="1.1793999671936"/>
    <n v="1.1801999807357699"/>
    <n v="1.1802999973297099"/>
    <x v="0"/>
    <n v="0"/>
    <n v="0"/>
    <n v="0"/>
  </r>
  <r>
    <d v="2025-09-11T00:00:00"/>
    <s v="19:00:00+00:00"/>
    <n v="1.1799999475479099"/>
    <n v="1.1801999807357699"/>
    <n v="1.17960000038146"/>
    <n v="1.1798499822616499"/>
    <n v="8172"/>
    <n v="1.17976999282836"/>
    <n v="1.79982185363858E-4"/>
    <s v="UP"/>
    <n v="1.17719400405883"/>
    <n v="2.29978561401278E-5"/>
    <s v="UP"/>
    <n v="2.5759887695313501E-3"/>
    <x v="1"/>
    <x v="550"/>
    <n v="0.41118971611523097"/>
    <s v="UP"/>
    <n v="1.1793999671936"/>
    <n v="1.17910003662109"/>
    <n v="1.1801500320434499"/>
    <n v="1.1801999807357699"/>
    <x v="0"/>
    <n v="0"/>
    <n v="0"/>
    <n v="0"/>
  </r>
  <r>
    <d v="2025-09-11T00:00:00"/>
    <s v="20:00:00+00:00"/>
    <n v="1.1798000335693299"/>
    <n v="1.1802500486373899"/>
    <n v="1.1797499656677199"/>
    <n v="1.1800500154495199"/>
    <n v="2729"/>
    <n v="1.1798300027847199"/>
    <n v="6.0009956359907602E-5"/>
    <s v="UP"/>
    <n v="1.17721900463104"/>
    <n v="2.5000572204669698E-5"/>
    <s v="UP"/>
    <n v="2.6109981536865902E-3"/>
    <x v="1"/>
    <x v="551"/>
    <n v="-1.4800940888221901"/>
    <s v="DOWN"/>
    <n v="1.17960000038146"/>
    <n v="1.1793999671936"/>
    <n v="1.1801999807357699"/>
    <n v="1.1801500320434499"/>
    <x v="0"/>
    <n v="0"/>
    <n v="0"/>
    <n v="0"/>
  </r>
  <r>
    <d v="2025-09-11T00:00:00"/>
    <s v="22:00:00+00:00"/>
    <n v="1.1801500320434499"/>
    <n v="1.1803499460220299"/>
    <n v="1.1797000169753999"/>
    <n v="1.1798000335693299"/>
    <n v="0"/>
    <n v="1.1798700094223"/>
    <n v="4.0006637573197697E-5"/>
    <s v="UP"/>
    <n v="1.1772700047492899"/>
    <n v="5.1000118255650701E-5"/>
    <s v="UP"/>
    <n v="2.6000046730041402E-3"/>
    <x v="1"/>
    <x v="552"/>
    <n v="1.6080235727012899"/>
    <s v="UP"/>
    <n v="1.1797499656677199"/>
    <n v="1.17960000038146"/>
    <n v="1.1802500486373899"/>
    <n v="1.1801999807357699"/>
    <x v="0"/>
    <n v="0"/>
    <n v="0"/>
    <n v="0"/>
  </r>
  <r>
    <d v="2025-09-11T00:00:00"/>
    <s v="23:00:00+00:00"/>
    <n v="1.17949998378753"/>
    <n v="1.1802500486373899"/>
    <n v="1.17949998378753"/>
    <n v="1.1801500320434499"/>
    <n v="626"/>
    <n v="1.1798700094223"/>
    <n v="0"/>
    <s v="DOWN"/>
    <n v="1.1773130035400301"/>
    <n v="4.2998790740877898E-5"/>
    <s v="UP"/>
    <n v="2.5570058822632601E-3"/>
    <x v="1"/>
    <x v="553"/>
    <n v="-4.9401377543263196"/>
    <s v="DOWN"/>
    <n v="1.1797000169753999"/>
    <n v="1.1797499656677199"/>
    <n v="1.1803499460220299"/>
    <n v="1.1802500486373899"/>
    <x v="0"/>
    <n v="0"/>
    <n v="0"/>
    <n v="0"/>
  </r>
  <r>
    <d v="2025-09-12T00:00:00"/>
    <s v="00:00:00+00:00"/>
    <n v="1.17955005168914"/>
    <n v="1.1797000169753999"/>
    <n v="1.17900002002716"/>
    <n v="1.17949998378753"/>
    <n v="2663"/>
    <n v="1.1798000097274699"/>
    <n v="-6.9999694824129905E-5"/>
    <s v="DOWN"/>
    <n v="1.17735800504684"/>
    <n v="4.5001506805419902E-5"/>
    <s v="UP"/>
    <n v="2.4420046806337102E-3"/>
    <x v="1"/>
    <x v="554"/>
    <n v="0.26581296473302202"/>
    <s v="UP"/>
    <n v="1.17949998378753"/>
    <n v="1.1797000169753999"/>
    <n v="1.1802500486373899"/>
    <n v="1.1803499460220299"/>
    <x v="1"/>
    <n v="0"/>
    <n v="0"/>
    <n v="0"/>
  </r>
  <r>
    <d v="2025-09-12T00:00:00"/>
    <s v="01:00:00+00:00"/>
    <n v="1.1788500547409"/>
    <n v="1.1796499490737899"/>
    <n v="1.17879998683929"/>
    <n v="1.17960000038146"/>
    <n v="1999"/>
    <n v="1.17957003116607"/>
    <n v="-2.2997856140150001E-4"/>
    <s v="DOWN"/>
    <n v="1.1773850059509201"/>
    <n v="2.7000904083251899E-5"/>
    <s v="UP"/>
    <n v="2.18502521514896E-3"/>
    <x v="1"/>
    <x v="555"/>
    <n v="-5.1787252783475903"/>
    <s v="DOWN"/>
    <n v="1.17900002002716"/>
    <n v="1.17949998378753"/>
    <n v="1.1797000169753999"/>
    <n v="1.1802500486373899"/>
    <x v="0"/>
    <n v="0"/>
    <n v="0"/>
    <n v="0"/>
  </r>
  <r>
    <d v="2025-09-12T00:00:00"/>
    <s v="02:00:00+00:00"/>
    <n v="1.17900002002716"/>
    <n v="1.17914998531341"/>
    <n v="1.17859995365142"/>
    <n v="1.1788500547409"/>
    <n v="2305"/>
    <n v="1.1794100284576401"/>
    <n v="-1.6000270843496899E-4"/>
    <s v="DOWN"/>
    <n v="1.1774090051651001"/>
    <n v="2.3999214172398802E-5"/>
    <s v="UP"/>
    <n v="2.0010232925415901E-3"/>
    <x v="1"/>
    <x v="556"/>
    <n v="0.92312052495569896"/>
    <s v="UP"/>
    <n v="1.17879998683929"/>
    <n v="1.17900002002716"/>
    <n v="1.1796499490737899"/>
    <n v="1.1797000169753999"/>
    <x v="0"/>
    <n v="0"/>
    <n v="0"/>
    <n v="0"/>
  </r>
  <r>
    <d v="2025-09-12T00:00:00"/>
    <s v="03:00:00+00:00"/>
    <n v="1.17875003814697"/>
    <n v="1.17894995212554"/>
    <n v="1.1785500049591"/>
    <n v="1.17890000343322"/>
    <n v="2122"/>
    <n v="1.17913002967834"/>
    <n v="-2.79998779296963E-4"/>
    <s v="DOWN"/>
    <n v="1.17744600534439"/>
    <n v="3.7000179290869103E-5"/>
    <s v="UP"/>
    <n v="1.68402433395375E-3"/>
    <x v="1"/>
    <x v="557"/>
    <n v="-1.88278241048134"/>
    <s v="DOWN"/>
    <n v="1.17859995365142"/>
    <n v="1.17879998683929"/>
    <n v="1.17914998531341"/>
    <n v="1.1796499490737899"/>
    <x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705B7-24E5-454C-934F-09F5321F6580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9:C24" firstHeaderRow="1" firstDataRow="1" firstDataCol="1" rowPageCount="1" colPageCount="1"/>
  <pivotFields count="2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5"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2" item="1" hier="-1"/>
  </pageFields>
  <dataFields count="1">
    <dataField name="Suma de IsMaxHighOfDa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0A7F4-CB43-4113-920A-6C2D57492346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C14" firstHeaderRow="1" firstDataRow="1" firstDataCol="1" rowPageCount="1" colPageCount="1"/>
  <pivotFields count="2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22" item="1" hier="-1"/>
  </pageFields>
  <dataFields count="1">
    <dataField name="Cuenta de RSI_14_MOV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53889-22D4-4F3F-886D-F9E15E589ABB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6" firstHeaderRow="1" firstDataRow="1" firstDataCol="1" rowPageCount="1" colPageCount="1"/>
  <pivotFields count="2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22" item="1" hier="-1"/>
  </pageFields>
  <dataFields count="1">
    <dataField name="Cuenta de SMA_CROS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82A7-E07D-4C4D-842F-4899FE24DC8B}">
  <sheetPr filterMode="1"/>
  <dimension ref="A1:AD574"/>
  <sheetViews>
    <sheetView tabSelected="1" zoomScale="85" zoomScaleNormal="85" workbookViewId="0">
      <selection activeCell="AA28" sqref="AA28:AA563"/>
    </sheetView>
  </sheetViews>
  <sheetFormatPr baseColWidth="10" defaultRowHeight="14.5" x14ac:dyDescent="0.35"/>
  <cols>
    <col min="1" max="1" width="23.26953125" bestFit="1" customWidth="1"/>
    <col min="2" max="2" width="13.453125" bestFit="1" customWidth="1"/>
    <col min="7" max="8" width="0" hidden="1" customWidth="1"/>
    <col min="9" max="10" width="13.7265625" hidden="1" customWidth="1"/>
    <col min="11" max="11" width="0" hidden="1" customWidth="1"/>
    <col min="12" max="13" width="14.6328125" hidden="1" customWidth="1"/>
    <col min="14" max="15" width="15.54296875" hidden="1" customWidth="1"/>
    <col min="16" max="22" width="0" hidden="1" customWidth="1"/>
  </cols>
  <sheetData>
    <row r="1" spans="1:30" x14ac:dyDescent="0.35">
      <c r="A1" t="s">
        <v>44</v>
      </c>
      <c r="B1" t="s">
        <v>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45</v>
      </c>
      <c r="K1" t="s">
        <v>7</v>
      </c>
      <c r="L1" t="s">
        <v>8</v>
      </c>
      <c r="M1" t="s">
        <v>46</v>
      </c>
      <c r="N1" t="s">
        <v>9</v>
      </c>
      <c r="O1" t="s">
        <v>47</v>
      </c>
      <c r="P1" t="s">
        <v>10</v>
      </c>
      <c r="Q1" t="s">
        <v>11</v>
      </c>
      <c r="R1" t="s">
        <v>48</v>
      </c>
      <c r="S1" t="s">
        <v>12</v>
      </c>
      <c r="T1" t="s">
        <v>60</v>
      </c>
      <c r="U1" t="s">
        <v>13</v>
      </c>
      <c r="V1" t="s">
        <v>61</v>
      </c>
      <c r="W1" t="s">
        <v>14</v>
      </c>
      <c r="X1" t="s">
        <v>62</v>
      </c>
      <c r="Y1" t="s">
        <v>15</v>
      </c>
      <c r="Z1" t="s">
        <v>63</v>
      </c>
      <c r="AA1" t="s">
        <v>16</v>
      </c>
      <c r="AB1" t="s">
        <v>17</v>
      </c>
      <c r="AC1" t="s">
        <v>18</v>
      </c>
      <c r="AD1" t="s">
        <v>19</v>
      </c>
    </row>
    <row r="2" spans="1:30" hidden="1" x14ac:dyDescent="0.35">
      <c r="A2" s="2">
        <v>45874</v>
      </c>
      <c r="B2" t="s">
        <v>20</v>
      </c>
      <c r="C2">
        <v>1.1629500389099099</v>
      </c>
      <c r="D2">
        <v>1.1633000373840301</v>
      </c>
      <c r="E2">
        <v>1.1629500389099099</v>
      </c>
      <c r="F2">
        <v>1.1633000373840301</v>
      </c>
      <c r="G2">
        <v>10</v>
      </c>
      <c r="H2">
        <v>1.16363999843597</v>
      </c>
      <c r="I2">
        <v>-2.6998519897447599E-4</v>
      </c>
      <c r="J2" t="str">
        <f>IF(I2&gt;0,"UP","DOWN")</f>
        <v>DOWN</v>
      </c>
      <c r="K2">
        <v>1.16393399477005</v>
      </c>
      <c r="L2">
        <v>2.2400140762313101E-4</v>
      </c>
      <c r="M2" t="str">
        <f>IF(L2&gt;0,"UP","DOWN")</f>
        <v>UP</v>
      </c>
      <c r="N2">
        <v>-2.9399633407578498E-4</v>
      </c>
      <c r="O2" t="str">
        <f>IF(N2&gt;0,"UP","DOWN")</f>
        <v>DOWN</v>
      </c>
      <c r="P2">
        <v>40.681503214941699</v>
      </c>
      <c r="Q2">
        <v>-3.7298491178392701</v>
      </c>
      <c r="R2" t="str">
        <f>IF(Q2&gt;0,"UP","DOWN")</f>
        <v>DOWN</v>
      </c>
      <c r="S2">
        <v>1.1626499891281099</v>
      </c>
      <c r="T2" t="str">
        <f t="shared" ref="T2:T65" si="0">IF((E2-S2)&lt;0,"DOWN","UP")</f>
        <v>UP</v>
      </c>
      <c r="U2">
        <v>1.1634999513626001</v>
      </c>
      <c r="V2" t="str">
        <f t="shared" ref="V2:V66" si="1">IF((E2-U2)&lt;0,"DOWN","UP")</f>
        <v>DOWN</v>
      </c>
      <c r="W2">
        <v>1.1638499498367301</v>
      </c>
      <c r="X2" t="str">
        <f t="shared" ref="X2:X65" si="2">IF((D2-W2)&gt;0,"UP","DOWN")</f>
        <v>DOWN</v>
      </c>
      <c r="Y2">
        <v>1.1634999513626001</v>
      </c>
      <c r="Z2" t="str">
        <f t="shared" ref="Z2:Z65" si="3">IF((D2-Y2)&gt;0,"UP","DOWN")</f>
        <v>DOWN</v>
      </c>
      <c r="AA2">
        <v>0</v>
      </c>
      <c r="AB2">
        <v>0</v>
      </c>
      <c r="AC2">
        <v>0</v>
      </c>
      <c r="AD2">
        <v>0</v>
      </c>
    </row>
    <row r="3" spans="1:30" hidden="1" x14ac:dyDescent="0.35">
      <c r="A3" s="2">
        <v>45874</v>
      </c>
      <c r="B3" t="s">
        <v>21</v>
      </c>
      <c r="C3">
        <v>1.1632499694824201</v>
      </c>
      <c r="D3">
        <v>1.1632499694824201</v>
      </c>
      <c r="E3">
        <v>1.1624000072479199</v>
      </c>
      <c r="F3">
        <v>1.1624000072479199</v>
      </c>
      <c r="G3">
        <v>6</v>
      </c>
      <c r="H3">
        <v>1.1633699893951399</v>
      </c>
      <c r="I3">
        <v>-2.7000904083251899E-4</v>
      </c>
      <c r="J3" t="str">
        <f t="shared" ref="J3:J66" si="4">IF(I3&gt;0,"UP","DOWN")</f>
        <v>DOWN</v>
      </c>
      <c r="K3">
        <v>1.1641549944877601</v>
      </c>
      <c r="L3">
        <v>2.2099971771249999E-4</v>
      </c>
      <c r="M3" t="str">
        <f t="shared" ref="M3:M66" si="5">IF(L3&gt;0,"UP","DOWN")</f>
        <v>UP</v>
      </c>
      <c r="N3">
        <v>-7.8500509262080498E-4</v>
      </c>
      <c r="O3" t="str">
        <f t="shared" ref="O3:O66" si="6">IF(N3&gt;0,"UP","DOWN")</f>
        <v>DOWN</v>
      </c>
      <c r="P3">
        <v>42.417285667488699</v>
      </c>
      <c r="Q3">
        <v>1.735782452547</v>
      </c>
      <c r="R3" t="str">
        <f t="shared" ref="R3:R66" si="7">IF(Q3&gt;0,"UP","DOWN")</f>
        <v>UP</v>
      </c>
      <c r="S3">
        <v>1.1629500389099099</v>
      </c>
      <c r="T3" t="str">
        <f t="shared" si="0"/>
        <v>DOWN</v>
      </c>
      <c r="U3">
        <v>1.1626499891281099</v>
      </c>
      <c r="V3" t="str">
        <f t="shared" si="1"/>
        <v>DOWN</v>
      </c>
      <c r="W3">
        <v>1.1633000373840301</v>
      </c>
      <c r="X3" t="str">
        <f t="shared" si="2"/>
        <v>DOWN</v>
      </c>
      <c r="Y3">
        <v>1.1638499498367301</v>
      </c>
      <c r="Z3" t="str">
        <f t="shared" si="3"/>
        <v>DOWN</v>
      </c>
      <c r="AA3">
        <v>0</v>
      </c>
      <c r="AB3">
        <v>1</v>
      </c>
      <c r="AC3">
        <v>0</v>
      </c>
      <c r="AD3">
        <v>0</v>
      </c>
    </row>
    <row r="4" spans="1:30" hidden="1" x14ac:dyDescent="0.35">
      <c r="A4" s="2">
        <v>45874</v>
      </c>
      <c r="B4" t="s">
        <v>22</v>
      </c>
      <c r="C4">
        <v>1.1628999710082999</v>
      </c>
      <c r="D4">
        <v>1.1641499996185301</v>
      </c>
      <c r="E4">
        <v>1.1625000238418499</v>
      </c>
      <c r="F4">
        <v>1.1638000011444001</v>
      </c>
      <c r="G4">
        <v>51</v>
      </c>
      <c r="H4">
        <v>1.16328997611999</v>
      </c>
      <c r="I4" s="1">
        <v>-8.0013275146617602E-5</v>
      </c>
      <c r="J4" t="str">
        <f t="shared" si="4"/>
        <v>DOWN</v>
      </c>
      <c r="K4">
        <v>1.1643509936332701</v>
      </c>
      <c r="L4">
        <v>1.9599914550782999E-4</v>
      </c>
      <c r="M4" t="str">
        <f t="shared" si="5"/>
        <v>UP</v>
      </c>
      <c r="N4">
        <v>-1.06101751327525E-3</v>
      </c>
      <c r="O4" t="str">
        <f t="shared" si="6"/>
        <v>DOWN</v>
      </c>
      <c r="P4">
        <v>40.912778606174697</v>
      </c>
      <c r="Q4">
        <v>-1.5045070613139599</v>
      </c>
      <c r="R4" t="str">
        <f t="shared" si="7"/>
        <v>DOWN</v>
      </c>
      <c r="S4">
        <v>1.1624000072479199</v>
      </c>
      <c r="T4" t="str">
        <f t="shared" si="0"/>
        <v>UP</v>
      </c>
      <c r="U4">
        <v>1.1629500389099099</v>
      </c>
      <c r="V4" t="str">
        <f t="shared" si="1"/>
        <v>DOWN</v>
      </c>
      <c r="W4">
        <v>1.1632499694824201</v>
      </c>
      <c r="X4" t="str">
        <f t="shared" si="2"/>
        <v>UP</v>
      </c>
      <c r="Y4">
        <v>1.1633000373840301</v>
      </c>
      <c r="Z4" t="str">
        <f t="shared" si="3"/>
        <v>UP</v>
      </c>
      <c r="AA4">
        <v>0</v>
      </c>
      <c r="AB4">
        <v>0</v>
      </c>
      <c r="AC4">
        <v>0</v>
      </c>
      <c r="AD4">
        <v>0</v>
      </c>
    </row>
    <row r="5" spans="1:30" hidden="1" x14ac:dyDescent="0.35">
      <c r="A5" s="2">
        <v>45874</v>
      </c>
      <c r="B5" t="s">
        <v>23</v>
      </c>
      <c r="C5">
        <v>1.1628500223159699</v>
      </c>
      <c r="D5">
        <v>1.16480004787445</v>
      </c>
      <c r="E5">
        <v>1.1628500223159699</v>
      </c>
      <c r="F5">
        <v>1.1634000539779601</v>
      </c>
      <c r="G5">
        <v>87</v>
      </c>
      <c r="H5">
        <v>1.16315999031066</v>
      </c>
      <c r="I5">
        <v>-1.2998580932621601E-4</v>
      </c>
      <c r="J5" t="str">
        <f t="shared" si="4"/>
        <v>DOWN</v>
      </c>
      <c r="K5">
        <v>1.16456299304962</v>
      </c>
      <c r="L5">
        <v>2.1199941635119399E-4</v>
      </c>
      <c r="M5" t="str">
        <f t="shared" si="5"/>
        <v>UP</v>
      </c>
      <c r="N5">
        <v>-1.4030027389526599E-3</v>
      </c>
      <c r="O5" t="str">
        <f t="shared" si="6"/>
        <v>DOWN</v>
      </c>
      <c r="P5">
        <v>40.690963060351997</v>
      </c>
      <c r="Q5">
        <v>-0.22181554582277799</v>
      </c>
      <c r="R5" t="str">
        <f t="shared" si="7"/>
        <v>DOWN</v>
      </c>
      <c r="S5">
        <v>1.1625000238418499</v>
      </c>
      <c r="T5" t="str">
        <f t="shared" si="0"/>
        <v>UP</v>
      </c>
      <c r="U5">
        <v>1.1624000072479199</v>
      </c>
      <c r="V5" t="str">
        <f t="shared" si="1"/>
        <v>UP</v>
      </c>
      <c r="W5">
        <v>1.1641499996185301</v>
      </c>
      <c r="X5" t="str">
        <f t="shared" si="2"/>
        <v>UP</v>
      </c>
      <c r="Y5">
        <v>1.1632499694824201</v>
      </c>
      <c r="Z5" t="str">
        <f t="shared" si="3"/>
        <v>UP</v>
      </c>
      <c r="AA5">
        <v>0</v>
      </c>
      <c r="AB5">
        <v>0</v>
      </c>
      <c r="AC5">
        <v>0</v>
      </c>
      <c r="AD5">
        <v>0</v>
      </c>
    </row>
    <row r="6" spans="1:30" hidden="1" x14ac:dyDescent="0.35">
      <c r="A6" s="2">
        <v>45874</v>
      </c>
      <c r="B6" t="s">
        <v>24</v>
      </c>
      <c r="C6">
        <v>1.16600000858306</v>
      </c>
      <c r="D6">
        <v>1.16600000858306</v>
      </c>
      <c r="E6">
        <v>1.1629999876022299</v>
      </c>
      <c r="F6">
        <v>1.16489994525909</v>
      </c>
      <c r="G6">
        <v>68</v>
      </c>
      <c r="H6">
        <v>1.1635900020599299</v>
      </c>
      <c r="I6">
        <v>4.3001174926771103E-4</v>
      </c>
      <c r="J6" t="str">
        <f t="shared" si="4"/>
        <v>UP</v>
      </c>
      <c r="K6">
        <v>1.1648599934577899</v>
      </c>
      <c r="L6">
        <v>2.97000408172598E-4</v>
      </c>
      <c r="M6" t="str">
        <f t="shared" si="5"/>
        <v>UP</v>
      </c>
      <c r="N6">
        <v>-1.2699913978575499E-3</v>
      </c>
      <c r="O6" t="str">
        <f t="shared" si="6"/>
        <v>DOWN</v>
      </c>
      <c r="P6">
        <v>56.652273649114697</v>
      </c>
      <c r="Q6">
        <v>15.9613105887627</v>
      </c>
      <c r="R6" t="str">
        <f t="shared" si="7"/>
        <v>UP</v>
      </c>
      <c r="S6">
        <v>1.1628500223159699</v>
      </c>
      <c r="T6" t="str">
        <f t="shared" si="0"/>
        <v>UP</v>
      </c>
      <c r="U6">
        <v>1.1625000238418499</v>
      </c>
      <c r="V6" t="str">
        <f t="shared" si="1"/>
        <v>UP</v>
      </c>
      <c r="W6">
        <v>1.16480004787445</v>
      </c>
      <c r="X6" t="str">
        <f t="shared" si="2"/>
        <v>UP</v>
      </c>
      <c r="Y6">
        <v>1.1641499996185301</v>
      </c>
      <c r="Z6" t="str">
        <f t="shared" si="3"/>
        <v>UP</v>
      </c>
      <c r="AA6">
        <v>0</v>
      </c>
      <c r="AB6">
        <v>0</v>
      </c>
      <c r="AC6">
        <v>0</v>
      </c>
      <c r="AD6">
        <v>0</v>
      </c>
    </row>
    <row r="7" spans="1:30" hidden="1" x14ac:dyDescent="0.35">
      <c r="A7" s="2">
        <v>45874</v>
      </c>
      <c r="B7" t="s">
        <v>25</v>
      </c>
      <c r="C7">
        <v>1.1675499677657999</v>
      </c>
      <c r="D7">
        <v>1.1675499677657999</v>
      </c>
      <c r="E7">
        <v>1.16604995727539</v>
      </c>
      <c r="F7">
        <v>1.16604995727539</v>
      </c>
      <c r="G7">
        <v>184</v>
      </c>
      <c r="H7">
        <v>1.16450998783111</v>
      </c>
      <c r="I7">
        <v>9.1998577117924298E-4</v>
      </c>
      <c r="J7" t="str">
        <f t="shared" si="4"/>
        <v>UP</v>
      </c>
      <c r="K7">
        <v>1.1652199935912999</v>
      </c>
      <c r="L7">
        <v>3.60000133514448E-4</v>
      </c>
      <c r="M7" t="str">
        <f t="shared" si="5"/>
        <v>UP</v>
      </c>
      <c r="N7">
        <v>-7.1000576019275498E-4</v>
      </c>
      <c r="O7" t="str">
        <f t="shared" si="6"/>
        <v>DOWN</v>
      </c>
      <c r="P7">
        <v>62.062469843459198</v>
      </c>
      <c r="Q7">
        <v>5.4101961943444996</v>
      </c>
      <c r="R7" t="str">
        <f t="shared" si="7"/>
        <v>UP</v>
      </c>
      <c r="S7">
        <v>1.1629999876022299</v>
      </c>
      <c r="T7" t="str">
        <f t="shared" si="0"/>
        <v>UP</v>
      </c>
      <c r="U7">
        <v>1.1628500223159699</v>
      </c>
      <c r="V7" t="str">
        <f t="shared" si="1"/>
        <v>UP</v>
      </c>
      <c r="W7">
        <v>1.16600000858306</v>
      </c>
      <c r="X7" t="str">
        <f t="shared" si="2"/>
        <v>UP</v>
      </c>
      <c r="Y7">
        <v>1.16480004787445</v>
      </c>
      <c r="Z7" t="str">
        <f t="shared" si="3"/>
        <v>UP</v>
      </c>
      <c r="AA7">
        <v>0</v>
      </c>
      <c r="AB7">
        <v>0</v>
      </c>
      <c r="AC7">
        <v>0</v>
      </c>
      <c r="AD7">
        <v>0</v>
      </c>
    </row>
    <row r="8" spans="1:30" hidden="1" x14ac:dyDescent="0.35">
      <c r="A8" s="2">
        <v>45874</v>
      </c>
      <c r="B8" t="s">
        <v>26</v>
      </c>
      <c r="C8">
        <v>1.1680999994277901</v>
      </c>
      <c r="D8">
        <v>1.1680999994277901</v>
      </c>
      <c r="E8">
        <v>1.1674000024795499</v>
      </c>
      <c r="F8">
        <v>1.1674000024795499</v>
      </c>
      <c r="G8">
        <v>101</v>
      </c>
      <c r="H8">
        <v>1.1654799938201901</v>
      </c>
      <c r="I8">
        <v>9.7000598907470703E-4</v>
      </c>
      <c r="J8" t="str">
        <f t="shared" si="4"/>
        <v>UP</v>
      </c>
      <c r="K8">
        <v>1.16555699348449</v>
      </c>
      <c r="L8">
        <v>3.3699989318858298E-4</v>
      </c>
      <c r="M8" t="str">
        <f t="shared" si="5"/>
        <v>UP</v>
      </c>
      <c r="N8" s="1">
        <v>-7.6999664306631703E-5</v>
      </c>
      <c r="O8" t="str">
        <f t="shared" si="6"/>
        <v>DOWN</v>
      </c>
      <c r="P8">
        <v>63.789626792684999</v>
      </c>
      <c r="Q8">
        <v>1.7271569492257901</v>
      </c>
      <c r="R8" t="str">
        <f t="shared" si="7"/>
        <v>UP</v>
      </c>
      <c r="S8">
        <v>1.16604995727539</v>
      </c>
      <c r="T8" t="str">
        <f t="shared" si="0"/>
        <v>UP</v>
      </c>
      <c r="U8">
        <v>1.1629999876022299</v>
      </c>
      <c r="V8" t="str">
        <f t="shared" si="1"/>
        <v>UP</v>
      </c>
      <c r="W8">
        <v>1.1675499677657999</v>
      </c>
      <c r="X8" t="str">
        <f t="shared" si="2"/>
        <v>UP</v>
      </c>
      <c r="Y8">
        <v>1.16600000858306</v>
      </c>
      <c r="Z8" t="str">
        <f t="shared" si="3"/>
        <v>UP</v>
      </c>
      <c r="AA8">
        <v>0</v>
      </c>
      <c r="AB8">
        <v>0</v>
      </c>
      <c r="AC8">
        <v>0</v>
      </c>
      <c r="AD8">
        <v>0</v>
      </c>
    </row>
    <row r="9" spans="1:30" hidden="1" x14ac:dyDescent="0.35">
      <c r="A9" s="2">
        <v>45874</v>
      </c>
      <c r="B9" t="s">
        <v>27</v>
      </c>
      <c r="C9">
        <v>1.1677999496459901</v>
      </c>
      <c r="D9">
        <v>1.1677999496459901</v>
      </c>
      <c r="E9">
        <v>1.1677000522613501</v>
      </c>
      <c r="F9">
        <v>1.1677500009536701</v>
      </c>
      <c r="G9">
        <v>80</v>
      </c>
      <c r="H9">
        <v>1.1664599895477199</v>
      </c>
      <c r="I9">
        <v>9.7999572753892906E-4</v>
      </c>
      <c r="J9" t="str">
        <f t="shared" si="4"/>
        <v>UP</v>
      </c>
      <c r="K9">
        <v>1.1658959913253699</v>
      </c>
      <c r="L9">
        <v>3.3899784088120501E-4</v>
      </c>
      <c r="M9" t="str">
        <f t="shared" si="5"/>
        <v>UP</v>
      </c>
      <c r="N9">
        <v>5.6399822235109198E-4</v>
      </c>
      <c r="O9" t="str">
        <f t="shared" si="6"/>
        <v>UP</v>
      </c>
      <c r="P9">
        <v>62.127974115250296</v>
      </c>
      <c r="Q9">
        <v>-1.66165267743468</v>
      </c>
      <c r="R9" t="str">
        <f t="shared" si="7"/>
        <v>DOWN</v>
      </c>
      <c r="S9">
        <v>1.1674000024795499</v>
      </c>
      <c r="T9" t="str">
        <f t="shared" si="0"/>
        <v>UP</v>
      </c>
      <c r="U9">
        <v>1.16604995727539</v>
      </c>
      <c r="V9" t="str">
        <f t="shared" si="1"/>
        <v>UP</v>
      </c>
      <c r="W9">
        <v>1.1680999994277901</v>
      </c>
      <c r="X9" t="str">
        <f t="shared" si="2"/>
        <v>DOWN</v>
      </c>
      <c r="Y9">
        <v>1.1675499677657999</v>
      </c>
      <c r="Z9" t="str">
        <f t="shared" si="3"/>
        <v>UP</v>
      </c>
      <c r="AA9">
        <v>0</v>
      </c>
      <c r="AB9">
        <v>0</v>
      </c>
      <c r="AC9">
        <v>0</v>
      </c>
      <c r="AD9">
        <v>0</v>
      </c>
    </row>
    <row r="10" spans="1:30" hidden="1" x14ac:dyDescent="0.35">
      <c r="A10" s="2">
        <v>45874</v>
      </c>
      <c r="B10" t="s">
        <v>28</v>
      </c>
      <c r="C10">
        <v>1.1665999889373699</v>
      </c>
      <c r="D10">
        <v>1.1665999889373699</v>
      </c>
      <c r="E10">
        <v>1.1665999889373699</v>
      </c>
      <c r="F10">
        <v>1.1665999889373699</v>
      </c>
      <c r="G10">
        <v>0</v>
      </c>
      <c r="H10">
        <v>1.167209982872</v>
      </c>
      <c r="I10">
        <v>7.4999332427982902E-4</v>
      </c>
      <c r="J10" t="str">
        <f t="shared" si="4"/>
        <v>UP</v>
      </c>
      <c r="K10">
        <v>1.1659439921379</v>
      </c>
      <c r="L10" s="1">
        <v>4.8000812530535301E-5</v>
      </c>
      <c r="M10" t="str">
        <f t="shared" si="5"/>
        <v>UP</v>
      </c>
      <c r="N10">
        <v>1.2659907341003799E-3</v>
      </c>
      <c r="O10" t="str">
        <f t="shared" si="6"/>
        <v>UP</v>
      </c>
      <c r="P10">
        <v>55.861007922879303</v>
      </c>
      <c r="Q10">
        <v>-6.2669661923709699</v>
      </c>
      <c r="R10" t="str">
        <f t="shared" si="7"/>
        <v>DOWN</v>
      </c>
      <c r="S10">
        <v>1.1677000522613501</v>
      </c>
      <c r="T10" t="str">
        <f t="shared" si="0"/>
        <v>DOWN</v>
      </c>
      <c r="U10">
        <v>1.1674000024795499</v>
      </c>
      <c r="V10" t="str">
        <f t="shared" si="1"/>
        <v>DOWN</v>
      </c>
      <c r="W10">
        <v>1.1677999496459901</v>
      </c>
      <c r="X10" t="str">
        <f t="shared" si="2"/>
        <v>DOWN</v>
      </c>
      <c r="Y10">
        <v>1.1680999994277901</v>
      </c>
      <c r="Z10" t="str">
        <f t="shared" si="3"/>
        <v>DOWN</v>
      </c>
      <c r="AA10">
        <v>0</v>
      </c>
      <c r="AB10">
        <v>0</v>
      </c>
      <c r="AC10">
        <v>0</v>
      </c>
      <c r="AD10">
        <v>0</v>
      </c>
    </row>
    <row r="11" spans="1:30" hidden="1" x14ac:dyDescent="0.35">
      <c r="A11" s="2">
        <v>45875</v>
      </c>
      <c r="B11" t="s">
        <v>29</v>
      </c>
      <c r="C11">
        <v>1.1669499874114899</v>
      </c>
      <c r="D11">
        <v>1.1669499874114899</v>
      </c>
      <c r="E11">
        <v>1.1669000387191699</v>
      </c>
      <c r="F11">
        <v>1.1669000387191699</v>
      </c>
      <c r="G11">
        <v>11</v>
      </c>
      <c r="H11">
        <v>1.1673999786376901</v>
      </c>
      <c r="I11">
        <v>1.89995765686123E-4</v>
      </c>
      <c r="J11" t="str">
        <f t="shared" si="4"/>
        <v>UP</v>
      </c>
      <c r="K11">
        <v>1.16596799135208</v>
      </c>
      <c r="L11" s="1">
        <v>2.3999214172398802E-5</v>
      </c>
      <c r="M11" t="str">
        <f t="shared" si="5"/>
        <v>UP</v>
      </c>
      <c r="N11">
        <v>1.4319872856141101E-3</v>
      </c>
      <c r="O11" t="str">
        <f t="shared" si="6"/>
        <v>UP</v>
      </c>
      <c r="P11">
        <v>57.216600730019799</v>
      </c>
      <c r="Q11">
        <v>1.35559280714043</v>
      </c>
      <c r="R11" t="str">
        <f t="shared" si="7"/>
        <v>UP</v>
      </c>
      <c r="S11">
        <v>1.1665999889373699</v>
      </c>
      <c r="T11" t="str">
        <f t="shared" si="0"/>
        <v>UP</v>
      </c>
      <c r="U11">
        <v>1.1677000522613501</v>
      </c>
      <c r="V11" t="str">
        <f t="shared" si="1"/>
        <v>DOWN</v>
      </c>
      <c r="W11">
        <v>1.1665999889373699</v>
      </c>
      <c r="X11" t="str">
        <f t="shared" si="2"/>
        <v>UP</v>
      </c>
      <c r="Y11">
        <v>1.1677999496459901</v>
      </c>
      <c r="Z11" t="str">
        <f t="shared" si="3"/>
        <v>DOWN</v>
      </c>
      <c r="AA11">
        <v>0</v>
      </c>
      <c r="AB11">
        <v>0</v>
      </c>
      <c r="AC11">
        <v>0</v>
      </c>
      <c r="AD11">
        <v>0</v>
      </c>
    </row>
    <row r="12" spans="1:30" hidden="1" x14ac:dyDescent="0.35">
      <c r="A12" s="2">
        <v>45875</v>
      </c>
      <c r="B12" t="s">
        <v>30</v>
      </c>
      <c r="C12">
        <v>1.16620004177093</v>
      </c>
      <c r="D12">
        <v>1.16620004177093</v>
      </c>
      <c r="E12">
        <v>1.166100025177</v>
      </c>
      <c r="F12">
        <v>1.166100025177</v>
      </c>
      <c r="G12">
        <v>5</v>
      </c>
      <c r="H12">
        <v>1.16712999343872</v>
      </c>
      <c r="I12">
        <v>-2.6998519897469798E-4</v>
      </c>
      <c r="J12" t="str">
        <f t="shared" si="4"/>
        <v>DOWN</v>
      </c>
      <c r="K12">
        <v>1.16596299171447</v>
      </c>
      <c r="L12" s="1">
        <v>-4.9996376036975897E-6</v>
      </c>
      <c r="M12" t="str">
        <f t="shared" si="5"/>
        <v>DOWN</v>
      </c>
      <c r="N12">
        <v>1.1670017242431099E-3</v>
      </c>
      <c r="O12" t="str">
        <f t="shared" si="6"/>
        <v>UP</v>
      </c>
      <c r="P12">
        <v>53.430074732210102</v>
      </c>
      <c r="Q12">
        <v>-3.7865259978096599</v>
      </c>
      <c r="R12" t="str">
        <f t="shared" si="7"/>
        <v>DOWN</v>
      </c>
      <c r="S12">
        <v>1.1669000387191699</v>
      </c>
      <c r="T12" t="str">
        <f t="shared" si="0"/>
        <v>DOWN</v>
      </c>
      <c r="U12">
        <v>1.1665999889373699</v>
      </c>
      <c r="V12" t="str">
        <f t="shared" si="1"/>
        <v>DOWN</v>
      </c>
      <c r="W12">
        <v>1.1669499874114899</v>
      </c>
      <c r="X12" t="str">
        <f t="shared" si="2"/>
        <v>DOWN</v>
      </c>
      <c r="Y12">
        <v>1.1665999889373699</v>
      </c>
      <c r="Z12" t="str">
        <f t="shared" si="3"/>
        <v>DOWN</v>
      </c>
      <c r="AA12">
        <v>0</v>
      </c>
      <c r="AB12">
        <v>1</v>
      </c>
      <c r="AC12">
        <v>0</v>
      </c>
      <c r="AD12">
        <v>0</v>
      </c>
    </row>
    <row r="13" spans="1:30" hidden="1" x14ac:dyDescent="0.35">
      <c r="A13" s="2">
        <v>45875</v>
      </c>
      <c r="B13" t="s">
        <v>31</v>
      </c>
      <c r="C13">
        <v>1.16620004177093</v>
      </c>
      <c r="D13">
        <v>1.1663999557495099</v>
      </c>
      <c r="E13">
        <v>1.166100025177</v>
      </c>
      <c r="F13">
        <v>1.1663999557495099</v>
      </c>
      <c r="G13">
        <v>18</v>
      </c>
      <c r="H13">
        <v>1.16675000190734</v>
      </c>
      <c r="I13">
        <v>-3.7999153137202498E-4</v>
      </c>
      <c r="J13" t="str">
        <f t="shared" si="4"/>
        <v>DOWN</v>
      </c>
      <c r="K13">
        <v>1.1659679937362599</v>
      </c>
      <c r="L13" s="1">
        <v>5.0020217894353096E-6</v>
      </c>
      <c r="M13" t="str">
        <f t="shared" si="5"/>
        <v>UP</v>
      </c>
      <c r="N13">
        <v>7.8200817108164901E-4</v>
      </c>
      <c r="O13" t="str">
        <f t="shared" si="6"/>
        <v>UP</v>
      </c>
      <c r="P13">
        <v>53.430074732210102</v>
      </c>
      <c r="Q13">
        <v>0</v>
      </c>
      <c r="R13" t="str">
        <f t="shared" si="7"/>
        <v>DOWN</v>
      </c>
      <c r="S13">
        <v>1.166100025177</v>
      </c>
      <c r="T13" t="str">
        <f t="shared" si="0"/>
        <v>UP</v>
      </c>
      <c r="U13">
        <v>1.1669000387191699</v>
      </c>
      <c r="V13" t="str">
        <f t="shared" si="1"/>
        <v>DOWN</v>
      </c>
      <c r="W13">
        <v>1.16620004177093</v>
      </c>
      <c r="X13" t="str">
        <f t="shared" si="2"/>
        <v>UP</v>
      </c>
      <c r="Y13">
        <v>1.1669499874114899</v>
      </c>
      <c r="Z13" t="str">
        <f t="shared" si="3"/>
        <v>DOWN</v>
      </c>
      <c r="AA13">
        <v>0</v>
      </c>
      <c r="AB13">
        <v>1</v>
      </c>
      <c r="AC13">
        <v>0</v>
      </c>
      <c r="AD13">
        <v>0</v>
      </c>
    </row>
    <row r="14" spans="1:30" hidden="1" x14ac:dyDescent="0.35">
      <c r="A14" s="2">
        <v>45875</v>
      </c>
      <c r="B14" t="s">
        <v>32</v>
      </c>
      <c r="C14">
        <v>1.1670999526977499</v>
      </c>
      <c r="D14">
        <v>1.1670999526977499</v>
      </c>
      <c r="E14">
        <v>1.1670999526977499</v>
      </c>
      <c r="F14">
        <v>1.1670999526977499</v>
      </c>
      <c r="G14">
        <v>1</v>
      </c>
      <c r="H14">
        <v>1.1666100025177</v>
      </c>
      <c r="I14">
        <v>-1.3999938964848099E-4</v>
      </c>
      <c r="J14" t="str">
        <f t="shared" si="4"/>
        <v>DOWN</v>
      </c>
      <c r="K14">
        <v>1.1660239934921199</v>
      </c>
      <c r="L14" s="1">
        <v>5.59997558593483E-5</v>
      </c>
      <c r="M14" t="str">
        <f t="shared" si="5"/>
        <v>UP</v>
      </c>
      <c r="N14">
        <v>5.8600902557381896E-4</v>
      </c>
      <c r="O14" t="str">
        <f t="shared" si="6"/>
        <v>UP</v>
      </c>
      <c r="P14">
        <v>57.357439763952399</v>
      </c>
      <c r="Q14">
        <v>3.9273650317422599</v>
      </c>
      <c r="R14" t="str">
        <f t="shared" si="7"/>
        <v>UP</v>
      </c>
      <c r="S14">
        <v>1.166100025177</v>
      </c>
      <c r="T14" t="str">
        <f t="shared" si="0"/>
        <v>UP</v>
      </c>
      <c r="U14">
        <v>1.166100025177</v>
      </c>
      <c r="V14" t="str">
        <f t="shared" si="1"/>
        <v>UP</v>
      </c>
      <c r="W14">
        <v>1.1663999557495099</v>
      </c>
      <c r="X14" t="str">
        <f t="shared" si="2"/>
        <v>UP</v>
      </c>
      <c r="Y14">
        <v>1.16620004177093</v>
      </c>
      <c r="Z14" t="str">
        <f t="shared" si="3"/>
        <v>UP</v>
      </c>
      <c r="AA14">
        <v>0</v>
      </c>
      <c r="AB14">
        <v>0</v>
      </c>
      <c r="AC14">
        <v>0</v>
      </c>
      <c r="AD14">
        <v>0</v>
      </c>
    </row>
    <row r="15" spans="1:30" hidden="1" x14ac:dyDescent="0.35">
      <c r="A15" s="2">
        <v>45875</v>
      </c>
      <c r="B15" t="s">
        <v>33</v>
      </c>
      <c r="C15">
        <v>1.1678999662399201</v>
      </c>
      <c r="D15">
        <v>1.1680999994277901</v>
      </c>
      <c r="E15">
        <v>1.1672500371932899</v>
      </c>
      <c r="F15">
        <v>1.1672999858856199</v>
      </c>
      <c r="G15">
        <v>19</v>
      </c>
      <c r="H15">
        <v>1.16686999797821</v>
      </c>
      <c r="I15">
        <v>2.5999546051025298E-4</v>
      </c>
      <c r="J15" t="str">
        <f t="shared" si="4"/>
        <v>UP</v>
      </c>
      <c r="K15">
        <v>1.1661419939994799</v>
      </c>
      <c r="L15">
        <v>1.1800050735488701E-4</v>
      </c>
      <c r="M15" t="str">
        <f t="shared" si="5"/>
        <v>UP</v>
      </c>
      <c r="N15">
        <v>7.2800397872918501E-4</v>
      </c>
      <c r="O15" t="str">
        <f t="shared" si="6"/>
        <v>UP</v>
      </c>
      <c r="P15">
        <v>60.543111750835401</v>
      </c>
      <c r="Q15">
        <v>3.1856719868829901</v>
      </c>
      <c r="R15" t="str">
        <f t="shared" si="7"/>
        <v>UP</v>
      </c>
      <c r="S15">
        <v>1.1670999526977499</v>
      </c>
      <c r="T15" t="str">
        <f t="shared" si="0"/>
        <v>UP</v>
      </c>
      <c r="U15">
        <v>1.166100025177</v>
      </c>
      <c r="V15" t="str">
        <f t="shared" si="1"/>
        <v>UP</v>
      </c>
      <c r="W15">
        <v>1.1670999526977499</v>
      </c>
      <c r="X15" t="str">
        <f t="shared" si="2"/>
        <v>UP</v>
      </c>
      <c r="Y15">
        <v>1.1663999557495099</v>
      </c>
      <c r="Z15" t="str">
        <f t="shared" si="3"/>
        <v>UP</v>
      </c>
      <c r="AA15">
        <v>0</v>
      </c>
      <c r="AB15">
        <v>0</v>
      </c>
      <c r="AC15">
        <v>0</v>
      </c>
      <c r="AD15">
        <v>0</v>
      </c>
    </row>
    <row r="16" spans="1:30" hidden="1" x14ac:dyDescent="0.35">
      <c r="A16" s="2">
        <v>45875</v>
      </c>
      <c r="B16" t="s">
        <v>34</v>
      </c>
      <c r="C16">
        <v>1.1676000356674101</v>
      </c>
      <c r="D16">
        <v>1.1677999496459901</v>
      </c>
      <c r="E16">
        <v>1.1673500537872299</v>
      </c>
      <c r="F16">
        <v>1.1675499677657999</v>
      </c>
      <c r="G16">
        <v>58</v>
      </c>
      <c r="H16">
        <v>1.16700000762939</v>
      </c>
      <c r="I16">
        <v>1.30009651184037E-4</v>
      </c>
      <c r="J16" t="str">
        <f t="shared" si="4"/>
        <v>UP</v>
      </c>
      <c r="K16">
        <v>1.1662099957466101</v>
      </c>
      <c r="L16" s="1">
        <v>6.8001747131285402E-5</v>
      </c>
      <c r="M16" t="str">
        <f t="shared" si="5"/>
        <v>UP</v>
      </c>
      <c r="N16">
        <v>7.9001188278193801E-4</v>
      </c>
      <c r="O16" t="str">
        <f t="shared" si="6"/>
        <v>UP</v>
      </c>
      <c r="P16">
        <v>58.770453928651101</v>
      </c>
      <c r="Q16">
        <v>-1.7726578221842699</v>
      </c>
      <c r="R16" t="str">
        <f t="shared" si="7"/>
        <v>DOWN</v>
      </c>
      <c r="S16">
        <v>1.1672500371932899</v>
      </c>
      <c r="T16" t="str">
        <f t="shared" si="0"/>
        <v>UP</v>
      </c>
      <c r="U16">
        <v>1.1670999526977499</v>
      </c>
      <c r="V16" t="str">
        <f t="shared" si="1"/>
        <v>UP</v>
      </c>
      <c r="W16">
        <v>1.1680999994277901</v>
      </c>
      <c r="X16" t="str">
        <f t="shared" si="2"/>
        <v>DOWN</v>
      </c>
      <c r="Y16">
        <v>1.1670999526977499</v>
      </c>
      <c r="Z16" t="str">
        <f t="shared" si="3"/>
        <v>UP</v>
      </c>
      <c r="AA16">
        <v>0</v>
      </c>
      <c r="AB16">
        <v>0</v>
      </c>
      <c r="AC16">
        <v>0</v>
      </c>
      <c r="AD16">
        <v>0</v>
      </c>
    </row>
    <row r="17" spans="1:30" hidden="1" x14ac:dyDescent="0.35">
      <c r="A17" s="2">
        <v>45875</v>
      </c>
      <c r="B17" t="s">
        <v>35</v>
      </c>
      <c r="C17">
        <v>1.1671500205993599</v>
      </c>
      <c r="D17">
        <v>1.1672500371932899</v>
      </c>
      <c r="E17">
        <v>1.1671500205993599</v>
      </c>
      <c r="F17">
        <v>1.1672500371932899</v>
      </c>
      <c r="G17">
        <v>10</v>
      </c>
      <c r="H17">
        <v>1.1671900033950799</v>
      </c>
      <c r="I17">
        <v>1.89995765686123E-4</v>
      </c>
      <c r="J17" t="str">
        <f t="shared" si="4"/>
        <v>UP</v>
      </c>
      <c r="K17">
        <v>1.16622399568557</v>
      </c>
      <c r="L17" s="1">
        <v>1.39999389647815E-5</v>
      </c>
      <c r="M17" t="str">
        <f t="shared" si="5"/>
        <v>UP</v>
      </c>
      <c r="N17">
        <v>9.6600770950327998E-4</v>
      </c>
      <c r="O17" t="str">
        <f t="shared" si="6"/>
        <v>UP</v>
      </c>
      <c r="P17">
        <v>56.115634115782001</v>
      </c>
      <c r="Q17">
        <v>-2.6548198128690701</v>
      </c>
      <c r="R17" t="str">
        <f t="shared" si="7"/>
        <v>DOWN</v>
      </c>
      <c r="S17">
        <v>1.1673500537872299</v>
      </c>
      <c r="T17" t="str">
        <f t="shared" si="0"/>
        <v>DOWN</v>
      </c>
      <c r="U17">
        <v>1.1672500371932899</v>
      </c>
      <c r="V17" t="str">
        <f t="shared" si="1"/>
        <v>DOWN</v>
      </c>
      <c r="W17">
        <v>1.1677999496459901</v>
      </c>
      <c r="X17" t="str">
        <f t="shared" si="2"/>
        <v>DOWN</v>
      </c>
      <c r="Y17">
        <v>1.1680999994277901</v>
      </c>
      <c r="Z17" t="str">
        <f t="shared" si="3"/>
        <v>DOWN</v>
      </c>
      <c r="AA17">
        <v>0</v>
      </c>
      <c r="AB17">
        <v>0</v>
      </c>
      <c r="AC17">
        <v>0</v>
      </c>
      <c r="AD17">
        <v>0</v>
      </c>
    </row>
    <row r="18" spans="1:30" hidden="1" x14ac:dyDescent="0.35">
      <c r="A18" s="2">
        <v>45875</v>
      </c>
      <c r="B18" t="s">
        <v>36</v>
      </c>
      <c r="C18">
        <v>1.1670000553131099</v>
      </c>
      <c r="D18">
        <v>1.1673500537872299</v>
      </c>
      <c r="E18">
        <v>1.1670000553131099</v>
      </c>
      <c r="F18">
        <v>1.1673500537872299</v>
      </c>
      <c r="G18">
        <v>5</v>
      </c>
      <c r="H18">
        <v>1.16735000610351</v>
      </c>
      <c r="I18">
        <v>1.6000270843496899E-4</v>
      </c>
      <c r="J18" t="str">
        <f t="shared" si="4"/>
        <v>UP</v>
      </c>
      <c r="K18">
        <v>1.16619599580764</v>
      </c>
      <c r="L18" s="1">
        <v>-2.7999877929563101E-5</v>
      </c>
      <c r="M18" t="str">
        <f t="shared" si="5"/>
        <v>DOWN</v>
      </c>
      <c r="N18">
        <v>1.1540102958678101E-3</v>
      </c>
      <c r="O18" t="str">
        <f t="shared" si="6"/>
        <v>UP</v>
      </c>
      <c r="P18">
        <v>55.220425765827002</v>
      </c>
      <c r="Q18">
        <v>-0.89520834995504805</v>
      </c>
      <c r="R18" t="str">
        <f t="shared" si="7"/>
        <v>DOWN</v>
      </c>
      <c r="S18">
        <v>1.1671500205993599</v>
      </c>
      <c r="T18" t="str">
        <f t="shared" si="0"/>
        <v>DOWN</v>
      </c>
      <c r="U18">
        <v>1.1673500537872299</v>
      </c>
      <c r="V18" t="str">
        <f t="shared" si="1"/>
        <v>DOWN</v>
      </c>
      <c r="W18">
        <v>1.1672500371932899</v>
      </c>
      <c r="X18" t="str">
        <f t="shared" si="2"/>
        <v>UP</v>
      </c>
      <c r="Y18">
        <v>1.1677999496459901</v>
      </c>
      <c r="Z18" t="str">
        <f t="shared" si="3"/>
        <v>DOWN</v>
      </c>
      <c r="AA18">
        <v>0</v>
      </c>
      <c r="AB18">
        <v>0</v>
      </c>
      <c r="AC18">
        <v>0</v>
      </c>
      <c r="AD18">
        <v>0</v>
      </c>
    </row>
    <row r="19" spans="1:30" hidden="1" x14ac:dyDescent="0.35">
      <c r="A19" s="2">
        <v>45875</v>
      </c>
      <c r="B19" t="s">
        <v>37</v>
      </c>
      <c r="C19">
        <v>1.1679999828338601</v>
      </c>
      <c r="D19">
        <v>1.1679999828338601</v>
      </c>
      <c r="E19">
        <v>1.1679999828338601</v>
      </c>
      <c r="F19">
        <v>1.1679999828338601</v>
      </c>
      <c r="G19">
        <v>5</v>
      </c>
      <c r="H19">
        <v>1.1675300121307299</v>
      </c>
      <c r="I19">
        <v>1.8000602722167901E-4</v>
      </c>
      <c r="J19" t="str">
        <f t="shared" si="4"/>
        <v>UP</v>
      </c>
      <c r="K19">
        <v>1.1661749958992</v>
      </c>
      <c r="L19" s="1">
        <v>-2.09999084472833E-5</v>
      </c>
      <c r="M19" t="str">
        <f t="shared" si="5"/>
        <v>DOWN</v>
      </c>
      <c r="N19">
        <v>1.3550162315367699E-3</v>
      </c>
      <c r="O19" t="str">
        <f t="shared" si="6"/>
        <v>UP</v>
      </c>
      <c r="P19">
        <v>59.822804286303899</v>
      </c>
      <c r="Q19">
        <v>4.6023785204769299</v>
      </c>
      <c r="R19" t="str">
        <f t="shared" si="7"/>
        <v>UP</v>
      </c>
      <c r="S19">
        <v>1.1670000553131099</v>
      </c>
      <c r="T19" t="str">
        <f t="shared" si="0"/>
        <v>UP</v>
      </c>
      <c r="U19">
        <v>1.1671500205993599</v>
      </c>
      <c r="V19" t="str">
        <f t="shared" si="1"/>
        <v>UP</v>
      </c>
      <c r="W19">
        <v>1.1673500537872299</v>
      </c>
      <c r="X19" t="str">
        <f t="shared" si="2"/>
        <v>UP</v>
      </c>
      <c r="Y19">
        <v>1.1672500371932899</v>
      </c>
      <c r="Z19" t="str">
        <f t="shared" si="3"/>
        <v>UP</v>
      </c>
      <c r="AA19">
        <v>0</v>
      </c>
      <c r="AB19">
        <v>0</v>
      </c>
      <c r="AC19">
        <v>0</v>
      </c>
      <c r="AD19">
        <v>0</v>
      </c>
    </row>
    <row r="20" spans="1:30" hidden="1" x14ac:dyDescent="0.35">
      <c r="A20" s="2">
        <v>45875</v>
      </c>
      <c r="B20" t="s">
        <v>20</v>
      </c>
      <c r="C20">
        <v>1.17025005817413</v>
      </c>
      <c r="D20">
        <v>1.17050004005432</v>
      </c>
      <c r="E20">
        <v>1.16884994506835</v>
      </c>
      <c r="F20">
        <v>1.16884994506835</v>
      </c>
      <c r="G20">
        <v>60</v>
      </c>
      <c r="H20">
        <v>1.16800003051757</v>
      </c>
      <c r="I20">
        <v>4.7001838684090902E-4</v>
      </c>
      <c r="J20" t="str">
        <f t="shared" si="4"/>
        <v>UP</v>
      </c>
      <c r="K20">
        <v>1.1662159967422401</v>
      </c>
      <c r="L20" s="1">
        <v>4.1000843048033497E-5</v>
      </c>
      <c r="M20" t="str">
        <f t="shared" si="5"/>
        <v>UP</v>
      </c>
      <c r="N20">
        <v>1.7840337753296501E-3</v>
      </c>
      <c r="O20" t="str">
        <f t="shared" si="6"/>
        <v>UP</v>
      </c>
      <c r="P20">
        <v>67.834226134171701</v>
      </c>
      <c r="Q20">
        <v>8.0114218478677994</v>
      </c>
      <c r="R20" t="str">
        <f t="shared" si="7"/>
        <v>UP</v>
      </c>
      <c r="S20">
        <v>1.1679999828338601</v>
      </c>
      <c r="T20" t="str">
        <f t="shared" si="0"/>
        <v>UP</v>
      </c>
      <c r="U20">
        <v>1.1670000553131099</v>
      </c>
      <c r="V20" t="str">
        <f t="shared" si="1"/>
        <v>UP</v>
      </c>
      <c r="W20">
        <v>1.1679999828338601</v>
      </c>
      <c r="X20" t="str">
        <f t="shared" si="2"/>
        <v>UP</v>
      </c>
      <c r="Y20">
        <v>1.1673500537872299</v>
      </c>
      <c r="Z20" t="str">
        <f t="shared" si="3"/>
        <v>UP</v>
      </c>
      <c r="AA20">
        <v>0</v>
      </c>
      <c r="AB20">
        <v>0</v>
      </c>
      <c r="AC20">
        <v>0</v>
      </c>
      <c r="AD20">
        <v>0</v>
      </c>
    </row>
    <row r="21" spans="1:30" hidden="1" x14ac:dyDescent="0.35">
      <c r="A21" s="2">
        <v>45875</v>
      </c>
      <c r="B21" t="s">
        <v>21</v>
      </c>
      <c r="C21">
        <v>1.17044997215271</v>
      </c>
      <c r="D21">
        <v>1.1707999706268299</v>
      </c>
      <c r="E21">
        <v>1.1698499917984</v>
      </c>
      <c r="F21">
        <v>1.1698499917984</v>
      </c>
      <c r="G21">
        <v>51</v>
      </c>
      <c r="H21">
        <v>1.1685700178146301</v>
      </c>
      <c r="I21">
        <v>5.6998729705814901E-4</v>
      </c>
      <c r="J21" t="str">
        <f t="shared" si="4"/>
        <v>UP</v>
      </c>
      <c r="K21">
        <v>1.16631799697875</v>
      </c>
      <c r="L21">
        <v>1.0200023651130099E-4</v>
      </c>
      <c r="M21" t="str">
        <f t="shared" si="5"/>
        <v>UP</v>
      </c>
      <c r="N21">
        <v>2.2520208358764999E-3</v>
      </c>
      <c r="O21" t="str">
        <f t="shared" si="6"/>
        <v>UP</v>
      </c>
      <c r="P21">
        <v>68.436434550953294</v>
      </c>
      <c r="Q21">
        <v>0.60220841678153603</v>
      </c>
      <c r="R21" t="str">
        <f t="shared" si="7"/>
        <v>UP</v>
      </c>
      <c r="S21">
        <v>1.16884994506835</v>
      </c>
      <c r="T21" t="str">
        <f t="shared" si="0"/>
        <v>UP</v>
      </c>
      <c r="U21">
        <v>1.1679999828338601</v>
      </c>
      <c r="V21" t="str">
        <f t="shared" si="1"/>
        <v>UP</v>
      </c>
      <c r="W21">
        <v>1.17050004005432</v>
      </c>
      <c r="X21" t="str">
        <f t="shared" si="2"/>
        <v>UP</v>
      </c>
      <c r="Y21">
        <v>1.1679999828338601</v>
      </c>
      <c r="Z21" t="str">
        <f t="shared" si="3"/>
        <v>UP</v>
      </c>
      <c r="AA21">
        <v>0</v>
      </c>
      <c r="AB21">
        <v>0</v>
      </c>
      <c r="AC21">
        <v>0</v>
      </c>
      <c r="AD21">
        <v>0</v>
      </c>
    </row>
    <row r="22" spans="1:30" hidden="1" x14ac:dyDescent="0.35">
      <c r="A22" s="2">
        <v>45875</v>
      </c>
      <c r="B22" t="s">
        <v>22</v>
      </c>
      <c r="C22">
        <v>1.1720000505447301</v>
      </c>
      <c r="D22">
        <v>1.1720499992370601</v>
      </c>
      <c r="E22">
        <v>1.1698499917984</v>
      </c>
      <c r="F22">
        <v>1.1698499917984</v>
      </c>
      <c r="G22">
        <v>87</v>
      </c>
      <c r="H22">
        <v>1.1695400238037099</v>
      </c>
      <c r="I22">
        <v>9.7000598907470703E-4</v>
      </c>
      <c r="J22" t="str">
        <f t="shared" si="4"/>
        <v>UP</v>
      </c>
      <c r="K22">
        <v>1.16643499851226</v>
      </c>
      <c r="L22">
        <v>1.17001533508354E-4</v>
      </c>
      <c r="M22" t="str">
        <f t="shared" si="5"/>
        <v>UP</v>
      </c>
      <c r="N22">
        <v>3.1050252914428499E-3</v>
      </c>
      <c r="O22" t="str">
        <f t="shared" si="6"/>
        <v>UP</v>
      </c>
      <c r="P22">
        <v>72.7037180424593</v>
      </c>
      <c r="Q22">
        <v>4.2672834915060402</v>
      </c>
      <c r="R22" t="str">
        <f t="shared" si="7"/>
        <v>UP</v>
      </c>
      <c r="S22">
        <v>1.1698499917984</v>
      </c>
      <c r="T22" t="str">
        <f t="shared" si="0"/>
        <v>UP</v>
      </c>
      <c r="U22">
        <v>1.16884994506835</v>
      </c>
      <c r="V22" t="str">
        <f t="shared" si="1"/>
        <v>UP</v>
      </c>
      <c r="W22">
        <v>1.1707999706268299</v>
      </c>
      <c r="X22" t="str">
        <f t="shared" si="2"/>
        <v>UP</v>
      </c>
      <c r="Y22">
        <v>1.17050004005432</v>
      </c>
      <c r="Z22" t="str">
        <f t="shared" si="3"/>
        <v>UP</v>
      </c>
      <c r="AA22">
        <v>0</v>
      </c>
      <c r="AB22">
        <v>0</v>
      </c>
      <c r="AC22">
        <v>0</v>
      </c>
      <c r="AD22">
        <v>0</v>
      </c>
    </row>
    <row r="23" spans="1:30" hidden="1" x14ac:dyDescent="0.35">
      <c r="A23" s="2">
        <v>45875</v>
      </c>
      <c r="B23" t="s">
        <v>23</v>
      </c>
      <c r="C23">
        <v>1.1729999780654901</v>
      </c>
      <c r="D23">
        <v>1.1729999780654901</v>
      </c>
      <c r="E23">
        <v>1.1715999841689999</v>
      </c>
      <c r="F23">
        <v>1.1721500158309901</v>
      </c>
      <c r="G23">
        <v>148</v>
      </c>
      <c r="H23">
        <v>1.1707400083541799</v>
      </c>
      <c r="I23">
        <v>1.19998455047598E-3</v>
      </c>
      <c r="J23" t="str">
        <f t="shared" si="4"/>
        <v>UP</v>
      </c>
      <c r="K23">
        <v>1.16655699729919</v>
      </c>
      <c r="L23">
        <v>1.21998786926091E-4</v>
      </c>
      <c r="M23" t="str">
        <f t="shared" si="5"/>
        <v>UP</v>
      </c>
      <c r="N23">
        <v>4.1830110549927399E-3</v>
      </c>
      <c r="O23" t="str">
        <f t="shared" si="6"/>
        <v>UP</v>
      </c>
      <c r="P23">
        <v>75.0473117503022</v>
      </c>
      <c r="Q23">
        <v>2.3435937078429201</v>
      </c>
      <c r="R23" t="str">
        <f t="shared" si="7"/>
        <v>UP</v>
      </c>
      <c r="S23">
        <v>1.1698499917984</v>
      </c>
      <c r="T23" t="str">
        <f t="shared" si="0"/>
        <v>UP</v>
      </c>
      <c r="U23">
        <v>1.1698499917984</v>
      </c>
      <c r="V23" t="str">
        <f t="shared" si="1"/>
        <v>UP</v>
      </c>
      <c r="W23">
        <v>1.1720499992370601</v>
      </c>
      <c r="X23" t="str">
        <f t="shared" si="2"/>
        <v>UP</v>
      </c>
      <c r="Y23">
        <v>1.1707999706268299</v>
      </c>
      <c r="Z23" t="str">
        <f t="shared" si="3"/>
        <v>UP</v>
      </c>
      <c r="AA23">
        <v>0</v>
      </c>
      <c r="AB23">
        <v>0</v>
      </c>
      <c r="AC23">
        <v>0</v>
      </c>
      <c r="AD23">
        <v>0</v>
      </c>
    </row>
    <row r="24" spans="1:30" hidden="1" x14ac:dyDescent="0.35">
      <c r="A24" s="2">
        <v>45875</v>
      </c>
      <c r="B24" t="s">
        <v>24</v>
      </c>
      <c r="C24">
        <v>1.1725499629974301</v>
      </c>
      <c r="D24">
        <v>1.1726499795913601</v>
      </c>
      <c r="E24">
        <v>1.1718000173568699</v>
      </c>
      <c r="F24">
        <v>1.1726499795913601</v>
      </c>
      <c r="G24">
        <v>13</v>
      </c>
      <c r="H24">
        <v>1.1716500043869</v>
      </c>
      <c r="I24">
        <v>9.0999603271479902E-4</v>
      </c>
      <c r="J24" t="str">
        <f t="shared" si="4"/>
        <v>UP</v>
      </c>
      <c r="K24">
        <v>1.16666199684143</v>
      </c>
      <c r="L24">
        <v>1.0499954223641599E-4</v>
      </c>
      <c r="M24" t="str">
        <f t="shared" si="5"/>
        <v>UP</v>
      </c>
      <c r="N24">
        <v>4.9880075454711197E-3</v>
      </c>
      <c r="O24" t="str">
        <f t="shared" si="6"/>
        <v>UP</v>
      </c>
      <c r="P24">
        <v>72.049177520566104</v>
      </c>
      <c r="Q24">
        <v>-2.9981342297361002</v>
      </c>
      <c r="R24" t="str">
        <f t="shared" si="7"/>
        <v>DOWN</v>
      </c>
      <c r="S24">
        <v>1.1715999841689999</v>
      </c>
      <c r="T24" t="str">
        <f t="shared" si="0"/>
        <v>UP</v>
      </c>
      <c r="U24">
        <v>1.1698499917984</v>
      </c>
      <c r="V24" t="str">
        <f t="shared" si="1"/>
        <v>UP</v>
      </c>
      <c r="W24">
        <v>1.1729999780654901</v>
      </c>
      <c r="X24" t="str">
        <f t="shared" si="2"/>
        <v>DOWN</v>
      </c>
      <c r="Y24">
        <v>1.1720499992370601</v>
      </c>
      <c r="Z24" t="str">
        <f t="shared" si="3"/>
        <v>UP</v>
      </c>
      <c r="AA24">
        <v>0</v>
      </c>
      <c r="AB24">
        <v>0</v>
      </c>
      <c r="AC24">
        <v>0</v>
      </c>
      <c r="AD24">
        <v>0</v>
      </c>
    </row>
    <row r="25" spans="1:30" hidden="1" x14ac:dyDescent="0.35">
      <c r="A25" s="2">
        <v>45875</v>
      </c>
      <c r="B25" t="s">
        <v>25</v>
      </c>
      <c r="C25">
        <v>1.17394995689392</v>
      </c>
      <c r="D25">
        <v>1.17394995689392</v>
      </c>
      <c r="E25">
        <v>1.1720000505447301</v>
      </c>
      <c r="F25">
        <v>1.1720000505447301</v>
      </c>
      <c r="G25">
        <v>60</v>
      </c>
      <c r="H25">
        <v>1.17238998413085</v>
      </c>
      <c r="I25">
        <v>7.3997974395756296E-4</v>
      </c>
      <c r="J25" t="str">
        <f t="shared" si="4"/>
        <v>UP</v>
      </c>
      <c r="K25">
        <v>1.1667999958991999</v>
      </c>
      <c r="L25">
        <v>1.3799905776967701E-4</v>
      </c>
      <c r="M25" t="str">
        <f t="shared" si="5"/>
        <v>UP</v>
      </c>
      <c r="N25">
        <v>5.5899882316590103E-3</v>
      </c>
      <c r="O25" t="str">
        <f t="shared" si="6"/>
        <v>UP</v>
      </c>
      <c r="P25">
        <v>75.348622529426194</v>
      </c>
      <c r="Q25">
        <v>3.29944500886007</v>
      </c>
      <c r="R25" t="str">
        <f t="shared" si="7"/>
        <v>UP</v>
      </c>
      <c r="S25">
        <v>1.1718000173568699</v>
      </c>
      <c r="T25" t="str">
        <f t="shared" si="0"/>
        <v>UP</v>
      </c>
      <c r="U25">
        <v>1.1715999841689999</v>
      </c>
      <c r="V25" t="str">
        <f t="shared" si="1"/>
        <v>UP</v>
      </c>
      <c r="W25">
        <v>1.1726499795913601</v>
      </c>
      <c r="X25" t="str">
        <f t="shared" si="2"/>
        <v>UP</v>
      </c>
      <c r="Y25">
        <v>1.1729999780654901</v>
      </c>
      <c r="Z25" t="str">
        <f t="shared" si="3"/>
        <v>UP</v>
      </c>
      <c r="AA25">
        <v>0</v>
      </c>
      <c r="AB25">
        <v>0</v>
      </c>
      <c r="AC25">
        <v>0</v>
      </c>
      <c r="AD25">
        <v>0</v>
      </c>
    </row>
    <row r="26" spans="1:30" hidden="1" x14ac:dyDescent="0.35">
      <c r="A26" s="2">
        <v>45875</v>
      </c>
      <c r="B26" t="s">
        <v>26</v>
      </c>
      <c r="C26">
        <v>1.17400002479553</v>
      </c>
      <c r="D26">
        <v>1.17400002479553</v>
      </c>
      <c r="E26">
        <v>1.17400002479553</v>
      </c>
      <c r="F26">
        <v>1.17400002479553</v>
      </c>
      <c r="G26">
        <v>31</v>
      </c>
      <c r="H26">
        <v>1.1730999946594201</v>
      </c>
      <c r="I26">
        <v>7.1001052856445302E-4</v>
      </c>
      <c r="J26" t="str">
        <f t="shared" si="4"/>
        <v>UP</v>
      </c>
      <c r="K26">
        <v>1.1669459962844799</v>
      </c>
      <c r="L26">
        <v>1.4600038528445001E-4</v>
      </c>
      <c r="M26" t="str">
        <f t="shared" si="5"/>
        <v>UP</v>
      </c>
      <c r="N26">
        <v>6.1539983749390103E-3</v>
      </c>
      <c r="O26" t="str">
        <f t="shared" si="6"/>
        <v>UP</v>
      </c>
      <c r="P26">
        <v>75.460189448289299</v>
      </c>
      <c r="Q26">
        <v>0.11156691886311799</v>
      </c>
      <c r="R26" t="str">
        <f t="shared" si="7"/>
        <v>UP</v>
      </c>
      <c r="S26">
        <v>1.1720000505447301</v>
      </c>
      <c r="T26" t="str">
        <f t="shared" si="0"/>
        <v>UP</v>
      </c>
      <c r="U26">
        <v>1.1718000173568699</v>
      </c>
      <c r="V26" t="str">
        <f t="shared" si="1"/>
        <v>UP</v>
      </c>
      <c r="W26">
        <v>1.17394995689392</v>
      </c>
      <c r="X26" t="str">
        <f t="shared" si="2"/>
        <v>UP</v>
      </c>
      <c r="Y26">
        <v>1.1726499795913601</v>
      </c>
      <c r="Z26" t="str">
        <f t="shared" si="3"/>
        <v>UP</v>
      </c>
      <c r="AA26">
        <v>0</v>
      </c>
      <c r="AB26">
        <v>0</v>
      </c>
      <c r="AC26">
        <v>0</v>
      </c>
      <c r="AD26">
        <v>0</v>
      </c>
    </row>
    <row r="27" spans="1:30" hidden="1" x14ac:dyDescent="0.35">
      <c r="A27" s="2">
        <v>45875</v>
      </c>
      <c r="B27" t="s">
        <v>27</v>
      </c>
      <c r="C27">
        <v>1.1744999885559</v>
      </c>
      <c r="D27">
        <v>1.1744999885559</v>
      </c>
      <c r="E27">
        <v>1.17365002632141</v>
      </c>
      <c r="F27">
        <v>1.17365002632141</v>
      </c>
      <c r="G27">
        <v>52</v>
      </c>
      <c r="H27">
        <v>1.1735999822616501</v>
      </c>
      <c r="I27">
        <v>4.9998760223379703E-4</v>
      </c>
      <c r="J27" t="str">
        <f t="shared" si="4"/>
        <v>UP</v>
      </c>
      <c r="K27">
        <v>1.16709299564361</v>
      </c>
      <c r="L27">
        <v>1.4699935913098299E-4</v>
      </c>
      <c r="M27" t="str">
        <f t="shared" si="5"/>
        <v>UP</v>
      </c>
      <c r="N27">
        <v>6.5069866180418297E-3</v>
      </c>
      <c r="O27" t="str">
        <f t="shared" si="6"/>
        <v>UP</v>
      </c>
      <c r="P27">
        <v>76.599102527678895</v>
      </c>
      <c r="Q27">
        <v>1.1389130793896101</v>
      </c>
      <c r="R27" t="str">
        <f t="shared" si="7"/>
        <v>UP</v>
      </c>
      <c r="S27">
        <v>1.17400002479553</v>
      </c>
      <c r="T27" t="str">
        <f t="shared" si="0"/>
        <v>DOWN</v>
      </c>
      <c r="U27">
        <v>1.1720000505447301</v>
      </c>
      <c r="V27" t="str">
        <f t="shared" si="1"/>
        <v>UP</v>
      </c>
      <c r="W27">
        <v>1.17400002479553</v>
      </c>
      <c r="X27" t="str">
        <f t="shared" si="2"/>
        <v>UP</v>
      </c>
      <c r="Y27">
        <v>1.17394995689392</v>
      </c>
      <c r="Z27" t="str">
        <f t="shared" si="3"/>
        <v>UP</v>
      </c>
      <c r="AA27">
        <v>0</v>
      </c>
      <c r="AB27">
        <v>0</v>
      </c>
      <c r="AC27">
        <v>0</v>
      </c>
      <c r="AD27">
        <v>0</v>
      </c>
    </row>
    <row r="28" spans="1:30" hidden="1" x14ac:dyDescent="0.35">
      <c r="A28" s="2">
        <v>45875</v>
      </c>
      <c r="B28" t="s">
        <v>38</v>
      </c>
      <c r="C28">
        <v>1.1756000518798799</v>
      </c>
      <c r="D28">
        <v>1.1762000322341899</v>
      </c>
      <c r="E28">
        <v>1.17445003986358</v>
      </c>
      <c r="F28">
        <v>1.17445003986358</v>
      </c>
      <c r="G28">
        <v>10</v>
      </c>
      <c r="H28">
        <v>1.17411999702453</v>
      </c>
      <c r="I28">
        <v>5.2001476287855098E-4</v>
      </c>
      <c r="J28" t="str">
        <f t="shared" si="4"/>
        <v>UP</v>
      </c>
      <c r="K28">
        <v>1.16728499650955</v>
      </c>
      <c r="L28">
        <v>1.92000865936181E-4</v>
      </c>
      <c r="M28" t="str">
        <f t="shared" si="5"/>
        <v>UP</v>
      </c>
      <c r="N28">
        <v>6.8350005149842002E-3</v>
      </c>
      <c r="O28" t="str">
        <f t="shared" si="6"/>
        <v>UP</v>
      </c>
      <c r="P28">
        <v>78.917583840633498</v>
      </c>
      <c r="Q28">
        <v>2.3184813129545301</v>
      </c>
      <c r="R28" t="str">
        <f t="shared" si="7"/>
        <v>UP</v>
      </c>
      <c r="S28">
        <v>1.17365002632141</v>
      </c>
      <c r="T28" t="str">
        <f t="shared" si="0"/>
        <v>UP</v>
      </c>
      <c r="U28">
        <v>1.17400002479553</v>
      </c>
      <c r="V28" t="str">
        <f t="shared" si="1"/>
        <v>UP</v>
      </c>
      <c r="W28">
        <v>1.1744999885559</v>
      </c>
      <c r="X28" t="str">
        <f>IF((D28-W28)&gt;0,"UP","DOWN")</f>
        <v>UP</v>
      </c>
      <c r="Y28">
        <v>1.17400002479553</v>
      </c>
      <c r="Z28" t="str">
        <f t="shared" si="3"/>
        <v>UP</v>
      </c>
      <c r="AA28">
        <v>1</v>
      </c>
      <c r="AB28">
        <v>0</v>
      </c>
      <c r="AC28">
        <v>0</v>
      </c>
      <c r="AD28">
        <v>0</v>
      </c>
    </row>
    <row r="29" spans="1:30" hidden="1" x14ac:dyDescent="0.35">
      <c r="A29" s="2">
        <v>45875</v>
      </c>
      <c r="B29" t="s">
        <v>28</v>
      </c>
      <c r="C29">
        <v>1.17509996891021</v>
      </c>
      <c r="D29">
        <v>1.1757500171661299</v>
      </c>
      <c r="E29">
        <v>1.17509996891021</v>
      </c>
      <c r="F29">
        <v>1.1756500005721999</v>
      </c>
      <c r="G29">
        <v>64</v>
      </c>
      <c r="H29">
        <v>1.17462999820709</v>
      </c>
      <c r="I29">
        <v>5.1000118255606298E-4</v>
      </c>
      <c r="J29" t="str">
        <f t="shared" si="4"/>
        <v>UP</v>
      </c>
      <c r="K29">
        <v>1.1674759960174499</v>
      </c>
      <c r="L29">
        <v>1.9099950790413199E-4</v>
      </c>
      <c r="M29" t="str">
        <f t="shared" si="5"/>
        <v>UP</v>
      </c>
      <c r="N29">
        <v>7.1540021896361302E-3</v>
      </c>
      <c r="O29" t="str">
        <f t="shared" si="6"/>
        <v>UP</v>
      </c>
      <c r="P29">
        <v>75.266820192896802</v>
      </c>
      <c r="Q29">
        <v>-3.6507636477366101</v>
      </c>
      <c r="R29" t="str">
        <f t="shared" si="7"/>
        <v>DOWN</v>
      </c>
      <c r="S29">
        <v>1.17445003986358</v>
      </c>
      <c r="T29" t="str">
        <f t="shared" si="0"/>
        <v>UP</v>
      </c>
      <c r="U29">
        <v>1.17365002632141</v>
      </c>
      <c r="V29" t="str">
        <f t="shared" si="1"/>
        <v>UP</v>
      </c>
      <c r="W29">
        <v>1.1762000322341899</v>
      </c>
      <c r="X29" t="str">
        <f t="shared" si="2"/>
        <v>DOWN</v>
      </c>
      <c r="Y29">
        <v>1.1744999885559</v>
      </c>
      <c r="Z29" t="str">
        <f t="shared" si="3"/>
        <v>UP</v>
      </c>
      <c r="AA29">
        <v>0</v>
      </c>
      <c r="AB29">
        <v>0</v>
      </c>
      <c r="AC29">
        <v>0</v>
      </c>
      <c r="AD29">
        <v>0</v>
      </c>
    </row>
    <row r="30" spans="1:30" hidden="1" x14ac:dyDescent="0.35">
      <c r="A30" s="2">
        <v>45875</v>
      </c>
      <c r="B30" t="s">
        <v>39</v>
      </c>
      <c r="C30">
        <v>1.1744999885559</v>
      </c>
      <c r="D30">
        <v>1.1744999885559</v>
      </c>
      <c r="E30">
        <v>1.1744999885559</v>
      </c>
      <c r="F30">
        <v>1.1744999885559</v>
      </c>
      <c r="G30">
        <v>1</v>
      </c>
      <c r="H30">
        <v>1.17474000453948</v>
      </c>
      <c r="I30">
        <v>1.10006332397549E-4</v>
      </c>
      <c r="J30" t="str">
        <f t="shared" si="4"/>
        <v>UP</v>
      </c>
      <c r="K30">
        <v>1.16763199567794</v>
      </c>
      <c r="L30">
        <v>1.5599966049184501E-4</v>
      </c>
      <c r="M30" t="str">
        <f t="shared" si="5"/>
        <v>UP</v>
      </c>
      <c r="N30">
        <v>7.1080088615418299E-3</v>
      </c>
      <c r="O30" t="str">
        <f t="shared" si="6"/>
        <v>UP</v>
      </c>
      <c r="P30">
        <v>71.021786162785801</v>
      </c>
      <c r="Q30">
        <v>-4.2450340301110403</v>
      </c>
      <c r="R30" t="str">
        <f t="shared" si="7"/>
        <v>DOWN</v>
      </c>
      <c r="S30">
        <v>1.17509996891021</v>
      </c>
      <c r="T30" t="str">
        <f t="shared" si="0"/>
        <v>DOWN</v>
      </c>
      <c r="U30">
        <v>1.17445003986358</v>
      </c>
      <c r="V30" t="str">
        <f t="shared" si="1"/>
        <v>UP</v>
      </c>
      <c r="W30">
        <v>1.1757500171661299</v>
      </c>
      <c r="X30" t="str">
        <f t="shared" si="2"/>
        <v>DOWN</v>
      </c>
      <c r="Y30">
        <v>1.1762000322341899</v>
      </c>
      <c r="Z30" t="str">
        <f t="shared" si="3"/>
        <v>DOWN</v>
      </c>
      <c r="AA30">
        <v>0</v>
      </c>
      <c r="AB30">
        <v>0</v>
      </c>
      <c r="AC30">
        <v>0</v>
      </c>
      <c r="AD30">
        <v>0</v>
      </c>
    </row>
    <row r="31" spans="1:30" hidden="1" x14ac:dyDescent="0.35">
      <c r="A31" s="2">
        <v>45875</v>
      </c>
      <c r="B31" t="s">
        <v>40</v>
      </c>
      <c r="C31">
        <v>1.1756000518798799</v>
      </c>
      <c r="D31">
        <v>1.1756000518798799</v>
      </c>
      <c r="E31">
        <v>1.1756000518798799</v>
      </c>
      <c r="F31">
        <v>1.1756000518798799</v>
      </c>
      <c r="G31">
        <v>0</v>
      </c>
      <c r="H31">
        <v>1.17506000995636</v>
      </c>
      <c r="I31">
        <v>3.20005416870161E-4</v>
      </c>
      <c r="J31" t="str">
        <f t="shared" si="4"/>
        <v>UP</v>
      </c>
      <c r="K31">
        <v>1.1678149962425199</v>
      </c>
      <c r="L31">
        <v>1.8300056457531901E-4</v>
      </c>
      <c r="M31" t="str">
        <f t="shared" si="5"/>
        <v>UP</v>
      </c>
      <c r="N31">
        <v>7.2450137138366701E-3</v>
      </c>
      <c r="O31" t="str">
        <f t="shared" si="6"/>
        <v>UP</v>
      </c>
      <c r="P31">
        <v>73.925530810118602</v>
      </c>
      <c r="Q31">
        <v>2.9037446473328399</v>
      </c>
      <c r="R31" t="str">
        <f t="shared" si="7"/>
        <v>UP</v>
      </c>
      <c r="S31">
        <v>1.1744999885559</v>
      </c>
      <c r="T31" t="str">
        <f t="shared" si="0"/>
        <v>UP</v>
      </c>
      <c r="U31">
        <v>1.17509996891021</v>
      </c>
      <c r="V31" t="str">
        <f t="shared" si="1"/>
        <v>UP</v>
      </c>
      <c r="W31">
        <v>1.1744999885559</v>
      </c>
      <c r="X31" t="str">
        <f t="shared" si="2"/>
        <v>UP</v>
      </c>
      <c r="Y31">
        <v>1.1757500171661299</v>
      </c>
      <c r="Z31" t="str">
        <f t="shared" si="3"/>
        <v>DOWN</v>
      </c>
      <c r="AA31">
        <v>0</v>
      </c>
      <c r="AB31">
        <v>0</v>
      </c>
      <c r="AC31">
        <v>0</v>
      </c>
      <c r="AD31">
        <v>0</v>
      </c>
    </row>
    <row r="32" spans="1:30" hidden="1" x14ac:dyDescent="0.35">
      <c r="A32" s="2">
        <v>45876</v>
      </c>
      <c r="B32" t="s">
        <v>29</v>
      </c>
      <c r="C32">
        <v>1.17439997196197</v>
      </c>
      <c r="D32">
        <v>1.17439997196197</v>
      </c>
      <c r="E32">
        <v>1.17439997196197</v>
      </c>
      <c r="F32">
        <v>1.17439997196197</v>
      </c>
      <c r="G32">
        <v>1</v>
      </c>
      <c r="H32">
        <v>1.1750400066375699</v>
      </c>
      <c r="I32" s="1">
        <v>-2.0003318786709901E-5</v>
      </c>
      <c r="J32" t="str">
        <f t="shared" si="4"/>
        <v>DOWN</v>
      </c>
      <c r="K32">
        <v>1.1679789948463399</v>
      </c>
      <c r="L32">
        <v>1.63998603820658E-4</v>
      </c>
      <c r="M32" t="str">
        <f t="shared" si="5"/>
        <v>UP</v>
      </c>
      <c r="N32">
        <v>7.0610117912293102E-3</v>
      </c>
      <c r="O32" t="str">
        <f t="shared" si="6"/>
        <v>UP</v>
      </c>
      <c r="P32">
        <v>66.139359410206595</v>
      </c>
      <c r="Q32">
        <v>-7.7861713999119999</v>
      </c>
      <c r="R32" t="str">
        <f t="shared" si="7"/>
        <v>DOWN</v>
      </c>
      <c r="S32">
        <v>1.1756000518798799</v>
      </c>
      <c r="T32" t="str">
        <f t="shared" si="0"/>
        <v>DOWN</v>
      </c>
      <c r="U32">
        <v>1.1744999885559</v>
      </c>
      <c r="V32" t="str">
        <f t="shared" si="1"/>
        <v>DOWN</v>
      </c>
      <c r="W32">
        <v>1.1756000518798799</v>
      </c>
      <c r="X32" t="str">
        <f t="shared" si="2"/>
        <v>DOWN</v>
      </c>
      <c r="Y32">
        <v>1.1744999885559</v>
      </c>
      <c r="Z32" t="str">
        <f t="shared" si="3"/>
        <v>DOWN</v>
      </c>
      <c r="AA32">
        <v>0</v>
      </c>
      <c r="AB32">
        <v>0</v>
      </c>
      <c r="AC32">
        <v>0</v>
      </c>
      <c r="AD32">
        <v>0</v>
      </c>
    </row>
    <row r="33" spans="1:30" hidden="1" x14ac:dyDescent="0.35">
      <c r="A33" s="2">
        <v>45876</v>
      </c>
      <c r="B33" t="s">
        <v>30</v>
      </c>
      <c r="C33">
        <v>1.17505002021789</v>
      </c>
      <c r="D33">
        <v>1.1753499507903999</v>
      </c>
      <c r="E33">
        <v>1.17435002326965</v>
      </c>
      <c r="F33">
        <v>1.17435002326965</v>
      </c>
      <c r="G33">
        <v>16</v>
      </c>
      <c r="H33">
        <v>1.1749300003051699</v>
      </c>
      <c r="I33">
        <v>-1.10006332397549E-4</v>
      </c>
      <c r="J33" t="str">
        <f t="shared" si="4"/>
        <v>DOWN</v>
      </c>
      <c r="K33">
        <v>1.16811699628829</v>
      </c>
      <c r="L33">
        <v>1.38001441955637E-4</v>
      </c>
      <c r="M33" t="str">
        <f t="shared" si="5"/>
        <v>UP</v>
      </c>
      <c r="N33">
        <v>6.8130040168761204E-3</v>
      </c>
      <c r="O33" t="str">
        <f t="shared" si="6"/>
        <v>UP</v>
      </c>
      <c r="P33">
        <v>68.099329449439296</v>
      </c>
      <c r="Q33">
        <v>1.95997003923265</v>
      </c>
      <c r="R33" t="str">
        <f t="shared" si="7"/>
        <v>UP</v>
      </c>
      <c r="S33">
        <v>1.17439997196197</v>
      </c>
      <c r="T33" t="str">
        <f t="shared" si="0"/>
        <v>DOWN</v>
      </c>
      <c r="U33">
        <v>1.1756000518798799</v>
      </c>
      <c r="V33" t="str">
        <f t="shared" si="1"/>
        <v>DOWN</v>
      </c>
      <c r="W33">
        <v>1.17439997196197</v>
      </c>
      <c r="X33" t="str">
        <f t="shared" si="2"/>
        <v>UP</v>
      </c>
      <c r="Y33">
        <v>1.1756000518798799</v>
      </c>
      <c r="Z33" t="str">
        <f t="shared" si="3"/>
        <v>DOWN</v>
      </c>
      <c r="AA33">
        <v>0</v>
      </c>
      <c r="AB33">
        <v>0</v>
      </c>
      <c r="AC33">
        <v>0</v>
      </c>
      <c r="AD33">
        <v>0</v>
      </c>
    </row>
    <row r="34" spans="1:30" hidden="1" x14ac:dyDescent="0.35">
      <c r="A34" s="2">
        <v>45876</v>
      </c>
      <c r="B34" t="s">
        <v>31</v>
      </c>
      <c r="C34">
        <v>1.17484998703002</v>
      </c>
      <c r="D34">
        <v>1.17484998703002</v>
      </c>
      <c r="E34">
        <v>1.17484998703002</v>
      </c>
      <c r="F34">
        <v>1.17484998703002</v>
      </c>
      <c r="G34">
        <v>5</v>
      </c>
      <c r="H34">
        <v>1.1748800039291301</v>
      </c>
      <c r="I34" s="1">
        <v>-4.999637603742E-5</v>
      </c>
      <c r="J34" t="str">
        <f t="shared" si="4"/>
        <v>DOWN</v>
      </c>
      <c r="K34">
        <v>1.1682679963111799</v>
      </c>
      <c r="L34">
        <v>1.5100002288814801E-4</v>
      </c>
      <c r="M34" t="str">
        <f t="shared" si="5"/>
        <v>UP</v>
      </c>
      <c r="N34">
        <v>6.6120076179505497E-3</v>
      </c>
      <c r="O34" t="str">
        <f t="shared" si="6"/>
        <v>UP</v>
      </c>
      <c r="P34">
        <v>66.817629205651599</v>
      </c>
      <c r="Q34">
        <v>-1.2817002437876499</v>
      </c>
      <c r="R34" t="str">
        <f t="shared" si="7"/>
        <v>DOWN</v>
      </c>
      <c r="S34">
        <v>1.17435002326965</v>
      </c>
      <c r="T34" t="str">
        <f t="shared" si="0"/>
        <v>UP</v>
      </c>
      <c r="U34">
        <v>1.17439997196197</v>
      </c>
      <c r="V34" t="str">
        <f t="shared" si="1"/>
        <v>UP</v>
      </c>
      <c r="W34">
        <v>1.1753499507903999</v>
      </c>
      <c r="X34" t="str">
        <f t="shared" si="2"/>
        <v>DOWN</v>
      </c>
      <c r="Y34">
        <v>1.17439997196197</v>
      </c>
      <c r="Z34" t="str">
        <f t="shared" si="3"/>
        <v>UP</v>
      </c>
      <c r="AA34">
        <v>0</v>
      </c>
      <c r="AB34">
        <v>0</v>
      </c>
      <c r="AC34">
        <v>0</v>
      </c>
      <c r="AD34">
        <v>0</v>
      </c>
    </row>
    <row r="35" spans="1:30" hidden="1" x14ac:dyDescent="0.35">
      <c r="A35" s="2">
        <v>45876</v>
      </c>
      <c r="B35" t="s">
        <v>32</v>
      </c>
      <c r="C35">
        <v>1.1744999885559</v>
      </c>
      <c r="D35">
        <v>1.17484998703002</v>
      </c>
      <c r="E35">
        <v>1.1744999885559</v>
      </c>
      <c r="F35">
        <v>1.17484998703002</v>
      </c>
      <c r="G35">
        <v>17</v>
      </c>
      <c r="H35">
        <v>1.1748800039291301</v>
      </c>
      <c r="I35">
        <v>0</v>
      </c>
      <c r="J35" t="str">
        <f t="shared" si="4"/>
        <v>DOWN</v>
      </c>
      <c r="K35">
        <v>1.1684259963035499</v>
      </c>
      <c r="L35">
        <v>1.5799999237064901E-4</v>
      </c>
      <c r="M35" t="str">
        <f t="shared" si="5"/>
        <v>UP</v>
      </c>
      <c r="N35">
        <v>6.4540076255798998E-3</v>
      </c>
      <c r="O35" t="str">
        <f t="shared" si="6"/>
        <v>UP</v>
      </c>
      <c r="P35">
        <v>64.529142960054102</v>
      </c>
      <c r="Q35">
        <v>-2.2884862455975599</v>
      </c>
      <c r="R35" t="str">
        <f t="shared" si="7"/>
        <v>DOWN</v>
      </c>
      <c r="S35">
        <v>1.17484998703002</v>
      </c>
      <c r="T35" t="str">
        <f t="shared" si="0"/>
        <v>DOWN</v>
      </c>
      <c r="U35">
        <v>1.17435002326965</v>
      </c>
      <c r="V35" t="str">
        <f t="shared" si="1"/>
        <v>UP</v>
      </c>
      <c r="W35">
        <v>1.17484998703002</v>
      </c>
      <c r="X35" t="str">
        <f t="shared" si="2"/>
        <v>DOWN</v>
      </c>
      <c r="Y35">
        <v>1.1753499507903999</v>
      </c>
      <c r="Z35" t="str">
        <f t="shared" si="3"/>
        <v>DOWN</v>
      </c>
      <c r="AA35">
        <v>0</v>
      </c>
      <c r="AB35">
        <v>0</v>
      </c>
      <c r="AC35">
        <v>0</v>
      </c>
      <c r="AD35">
        <v>0</v>
      </c>
    </row>
    <row r="36" spans="1:30" hidden="1" x14ac:dyDescent="0.35">
      <c r="A36" s="2">
        <v>45876</v>
      </c>
      <c r="B36" t="s">
        <v>33</v>
      </c>
      <c r="C36">
        <v>1.1761499643325799</v>
      </c>
      <c r="D36">
        <v>1.1762499809265099</v>
      </c>
      <c r="E36">
        <v>1.1761499643325799</v>
      </c>
      <c r="F36">
        <v>1.1762499809265099</v>
      </c>
      <c r="G36">
        <v>5</v>
      </c>
      <c r="H36">
        <v>1.17498998641967</v>
      </c>
      <c r="I36">
        <v>1.0998249053950601E-4</v>
      </c>
      <c r="J36" t="str">
        <f t="shared" si="4"/>
        <v>UP</v>
      </c>
      <c r="K36">
        <v>1.1686199951171801</v>
      </c>
      <c r="L36">
        <v>1.9399881362902599E-4</v>
      </c>
      <c r="M36" t="str">
        <f t="shared" si="5"/>
        <v>UP</v>
      </c>
      <c r="N36">
        <v>6.3699913024903802E-3</v>
      </c>
      <c r="O36" t="str">
        <f t="shared" si="6"/>
        <v>UP</v>
      </c>
      <c r="P36">
        <v>69.783272470967404</v>
      </c>
      <c r="Q36">
        <v>5.2541295109133301</v>
      </c>
      <c r="R36" t="str">
        <f t="shared" si="7"/>
        <v>UP</v>
      </c>
      <c r="S36">
        <v>1.1744999885559</v>
      </c>
      <c r="T36" t="str">
        <f t="shared" si="0"/>
        <v>UP</v>
      </c>
      <c r="U36">
        <v>1.17484998703002</v>
      </c>
      <c r="V36" t="str">
        <f t="shared" si="1"/>
        <v>UP</v>
      </c>
      <c r="W36">
        <v>1.17484998703002</v>
      </c>
      <c r="X36" t="str">
        <f t="shared" si="2"/>
        <v>UP</v>
      </c>
      <c r="Y36">
        <v>1.17484998703002</v>
      </c>
      <c r="Z36" t="str">
        <f t="shared" si="3"/>
        <v>UP</v>
      </c>
      <c r="AA36">
        <v>0</v>
      </c>
      <c r="AB36">
        <v>0</v>
      </c>
      <c r="AC36">
        <v>0</v>
      </c>
      <c r="AD36">
        <v>0</v>
      </c>
    </row>
    <row r="37" spans="1:30" hidden="1" x14ac:dyDescent="0.35">
      <c r="A37" s="2">
        <v>45876</v>
      </c>
      <c r="B37" t="s">
        <v>41</v>
      </c>
      <c r="C37">
        <v>1.1759999990463199</v>
      </c>
      <c r="D37">
        <v>1.1763000488281199</v>
      </c>
      <c r="E37">
        <v>1.1759999990463199</v>
      </c>
      <c r="F37">
        <v>1.1763000488281199</v>
      </c>
      <c r="G37">
        <v>11</v>
      </c>
      <c r="H37">
        <v>1.1753099918365399</v>
      </c>
      <c r="I37">
        <v>3.20005416870161E-4</v>
      </c>
      <c r="J37" t="str">
        <f t="shared" si="4"/>
        <v>UP</v>
      </c>
      <c r="K37">
        <v>1.16881499528884</v>
      </c>
      <c r="L37">
        <v>1.9500017166151901E-4</v>
      </c>
      <c r="M37" t="str">
        <f t="shared" si="5"/>
        <v>UP</v>
      </c>
      <c r="N37">
        <v>6.4949965476990201E-3</v>
      </c>
      <c r="O37" t="str">
        <f t="shared" si="6"/>
        <v>UP</v>
      </c>
      <c r="P37">
        <v>68.785970184612594</v>
      </c>
      <c r="Q37">
        <v>-0.99730228635478102</v>
      </c>
      <c r="R37" t="str">
        <f t="shared" si="7"/>
        <v>DOWN</v>
      </c>
      <c r="S37">
        <v>1.1761499643325799</v>
      </c>
      <c r="T37" t="str">
        <f t="shared" si="0"/>
        <v>DOWN</v>
      </c>
      <c r="U37">
        <v>1.1744999885559</v>
      </c>
      <c r="V37" t="str">
        <f t="shared" si="1"/>
        <v>UP</v>
      </c>
      <c r="W37">
        <v>1.1762499809265099</v>
      </c>
      <c r="X37" t="str">
        <f t="shared" si="2"/>
        <v>UP</v>
      </c>
      <c r="Y37">
        <v>1.17484998703002</v>
      </c>
      <c r="Z37" t="str">
        <f t="shared" si="3"/>
        <v>UP</v>
      </c>
      <c r="AA37">
        <v>0</v>
      </c>
      <c r="AB37">
        <v>0</v>
      </c>
      <c r="AC37">
        <v>0</v>
      </c>
      <c r="AD37">
        <v>0</v>
      </c>
    </row>
    <row r="38" spans="1:30" hidden="1" x14ac:dyDescent="0.35">
      <c r="A38" s="2">
        <v>45876</v>
      </c>
      <c r="B38" t="s">
        <v>34</v>
      </c>
      <c r="C38">
        <v>1.1766500473022401</v>
      </c>
      <c r="D38">
        <v>1.1766500473022401</v>
      </c>
      <c r="E38">
        <v>1.1765500307083101</v>
      </c>
      <c r="F38">
        <v>1.1765500307083101</v>
      </c>
      <c r="G38">
        <v>4</v>
      </c>
      <c r="H38">
        <v>1.1756299972534101</v>
      </c>
      <c r="I38">
        <v>3.2000541686993901E-4</v>
      </c>
      <c r="J38" t="str">
        <f t="shared" si="4"/>
        <v>UP</v>
      </c>
      <c r="K38">
        <v>1.16901599645614</v>
      </c>
      <c r="L38">
        <v>2.0100116729726501E-4</v>
      </c>
      <c r="M38" t="str">
        <f t="shared" si="5"/>
        <v>UP</v>
      </c>
      <c r="N38">
        <v>6.6140007972717001E-3</v>
      </c>
      <c r="O38" t="str">
        <f t="shared" si="6"/>
        <v>UP</v>
      </c>
      <c r="P38">
        <v>70.738137293206293</v>
      </c>
      <c r="Q38">
        <v>1.95216710859369</v>
      </c>
      <c r="R38" t="str">
        <f t="shared" si="7"/>
        <v>UP</v>
      </c>
      <c r="S38">
        <v>1.1759999990463199</v>
      </c>
      <c r="T38" t="str">
        <f t="shared" si="0"/>
        <v>UP</v>
      </c>
      <c r="U38">
        <v>1.1761499643325799</v>
      </c>
      <c r="V38" t="str">
        <f t="shared" si="1"/>
        <v>UP</v>
      </c>
      <c r="W38">
        <v>1.1763000488281199</v>
      </c>
      <c r="X38" t="str">
        <f t="shared" si="2"/>
        <v>UP</v>
      </c>
      <c r="Y38">
        <v>1.1762499809265099</v>
      </c>
      <c r="Z38" t="str">
        <f t="shared" si="3"/>
        <v>UP</v>
      </c>
      <c r="AA38">
        <v>0</v>
      </c>
      <c r="AB38">
        <v>0</v>
      </c>
      <c r="AC38">
        <v>0</v>
      </c>
      <c r="AD38">
        <v>0</v>
      </c>
    </row>
    <row r="39" spans="1:30" hidden="1" x14ac:dyDescent="0.35">
      <c r="A39" s="2">
        <v>45876</v>
      </c>
      <c r="B39" t="s">
        <v>35</v>
      </c>
      <c r="C39">
        <v>1.17815005779266</v>
      </c>
      <c r="D39">
        <v>1.1782499551773</v>
      </c>
      <c r="E39">
        <v>1.1766999959945601</v>
      </c>
      <c r="F39">
        <v>1.1766999959945601</v>
      </c>
      <c r="G39">
        <v>37</v>
      </c>
      <c r="H39">
        <v>1.17629001140594</v>
      </c>
      <c r="I39">
        <v>6.60014152527033E-4</v>
      </c>
      <c r="J39" t="str">
        <f t="shared" si="4"/>
        <v>UP</v>
      </c>
      <c r="K39">
        <v>1.1692599987983701</v>
      </c>
      <c r="L39">
        <v>2.44002342224103E-4</v>
      </c>
      <c r="M39" t="str">
        <f t="shared" si="5"/>
        <v>UP</v>
      </c>
      <c r="N39">
        <v>7.0300126075746299E-3</v>
      </c>
      <c r="O39" t="str">
        <f t="shared" si="6"/>
        <v>UP</v>
      </c>
      <c r="P39">
        <v>74.674213309844305</v>
      </c>
      <c r="Q39">
        <v>3.9360760166379398</v>
      </c>
      <c r="R39" t="str">
        <f t="shared" si="7"/>
        <v>UP</v>
      </c>
      <c r="S39">
        <v>1.1765500307083101</v>
      </c>
      <c r="T39" t="str">
        <f t="shared" si="0"/>
        <v>UP</v>
      </c>
      <c r="U39">
        <v>1.1759999990463199</v>
      </c>
      <c r="V39" t="str">
        <f t="shared" si="1"/>
        <v>UP</v>
      </c>
      <c r="W39">
        <v>1.1766500473022401</v>
      </c>
      <c r="X39" t="str">
        <f t="shared" si="2"/>
        <v>UP</v>
      </c>
      <c r="Y39">
        <v>1.1763000488281199</v>
      </c>
      <c r="Z39" t="str">
        <f t="shared" si="3"/>
        <v>UP</v>
      </c>
      <c r="AA39">
        <v>0</v>
      </c>
      <c r="AB39">
        <v>0</v>
      </c>
      <c r="AC39">
        <v>0</v>
      </c>
      <c r="AD39">
        <v>0</v>
      </c>
    </row>
    <row r="40" spans="1:30" hidden="1" x14ac:dyDescent="0.35">
      <c r="A40" s="2">
        <v>45876</v>
      </c>
      <c r="B40" t="s">
        <v>36</v>
      </c>
      <c r="C40">
        <v>1.1773999929428101</v>
      </c>
      <c r="D40">
        <v>1.17904996871948</v>
      </c>
      <c r="E40">
        <v>1.1769499778747501</v>
      </c>
      <c r="F40">
        <v>1.17805004119873</v>
      </c>
      <c r="G40">
        <v>171</v>
      </c>
      <c r="H40">
        <v>1.17687001228332</v>
      </c>
      <c r="I40">
        <v>5.8000087738019302E-4</v>
      </c>
      <c r="J40" t="str">
        <f t="shared" si="4"/>
        <v>UP</v>
      </c>
      <c r="K40">
        <v>1.1694809985160799</v>
      </c>
      <c r="L40">
        <v>2.2099971771249999E-4</v>
      </c>
      <c r="M40" t="str">
        <f t="shared" si="5"/>
        <v>UP</v>
      </c>
      <c r="N40">
        <v>7.3890137672423199E-3</v>
      </c>
      <c r="O40" t="str">
        <f t="shared" si="6"/>
        <v>UP</v>
      </c>
      <c r="P40">
        <v>69.630501834465903</v>
      </c>
      <c r="Q40">
        <v>-5.0437114753783101</v>
      </c>
      <c r="R40" t="str">
        <f t="shared" si="7"/>
        <v>DOWN</v>
      </c>
      <c r="S40">
        <v>1.1766999959945601</v>
      </c>
      <c r="T40" t="str">
        <f t="shared" si="0"/>
        <v>UP</v>
      </c>
      <c r="U40">
        <v>1.1765500307083101</v>
      </c>
      <c r="V40" t="str">
        <f t="shared" si="1"/>
        <v>UP</v>
      </c>
      <c r="W40">
        <v>1.1782499551773</v>
      </c>
      <c r="X40" t="str">
        <f t="shared" si="2"/>
        <v>UP</v>
      </c>
      <c r="Y40">
        <v>1.1766500473022401</v>
      </c>
      <c r="Z40" t="str">
        <f t="shared" si="3"/>
        <v>UP</v>
      </c>
      <c r="AA40">
        <v>1</v>
      </c>
      <c r="AB40">
        <v>0</v>
      </c>
      <c r="AC40">
        <v>0</v>
      </c>
      <c r="AD40">
        <v>0</v>
      </c>
    </row>
    <row r="41" spans="1:30" hidden="1" x14ac:dyDescent="0.35">
      <c r="A41" s="2">
        <v>45876</v>
      </c>
      <c r="B41" t="s">
        <v>37</v>
      </c>
      <c r="C41">
        <v>1.1763999462127599</v>
      </c>
      <c r="D41">
        <v>1.1773999929428101</v>
      </c>
      <c r="E41">
        <v>1.1763999462127599</v>
      </c>
      <c r="F41">
        <v>1.1773999929428101</v>
      </c>
      <c r="G41">
        <v>11</v>
      </c>
      <c r="H41">
        <v>1.1769200086593601</v>
      </c>
      <c r="I41" s="1">
        <v>4.9996376037641997E-5</v>
      </c>
      <c r="J41" t="str">
        <f t="shared" si="4"/>
        <v>UP</v>
      </c>
      <c r="K41">
        <v>1.1696739983558599</v>
      </c>
      <c r="L41">
        <v>1.92999839782714E-4</v>
      </c>
      <c r="M41" t="str">
        <f t="shared" si="5"/>
        <v>UP</v>
      </c>
      <c r="N41">
        <v>7.2460103034972497E-3</v>
      </c>
      <c r="O41" t="str">
        <f t="shared" si="6"/>
        <v>UP</v>
      </c>
      <c r="P41">
        <v>63.474677143809501</v>
      </c>
      <c r="Q41">
        <v>-6.1558246906564396</v>
      </c>
      <c r="R41" t="str">
        <f t="shared" si="7"/>
        <v>DOWN</v>
      </c>
      <c r="S41">
        <v>1.1769499778747501</v>
      </c>
      <c r="T41" t="str">
        <f t="shared" si="0"/>
        <v>DOWN</v>
      </c>
      <c r="U41">
        <v>1.1766999959945601</v>
      </c>
      <c r="V41" t="str">
        <f t="shared" si="1"/>
        <v>DOWN</v>
      </c>
      <c r="W41">
        <v>1.17904996871948</v>
      </c>
      <c r="X41" t="str">
        <f t="shared" si="2"/>
        <v>DOWN</v>
      </c>
      <c r="Y41">
        <v>1.1782499551773</v>
      </c>
      <c r="Z41" t="str">
        <f t="shared" si="3"/>
        <v>DOWN</v>
      </c>
      <c r="AA41">
        <v>0</v>
      </c>
      <c r="AB41">
        <v>0</v>
      </c>
      <c r="AC41">
        <v>0</v>
      </c>
      <c r="AD41">
        <v>0</v>
      </c>
    </row>
    <row r="42" spans="1:30" hidden="1" x14ac:dyDescent="0.35">
      <c r="A42" s="2">
        <v>45876</v>
      </c>
      <c r="B42" t="s">
        <v>20</v>
      </c>
      <c r="C42">
        <v>1.1756000518798799</v>
      </c>
      <c r="D42">
        <v>1.1763499975204399</v>
      </c>
      <c r="E42">
        <v>1.1755499839782699</v>
      </c>
      <c r="F42">
        <v>1.1763499975204399</v>
      </c>
      <c r="G42">
        <v>13</v>
      </c>
      <c r="H42">
        <v>1.17684001922607</v>
      </c>
      <c r="I42" s="1">
        <v>-7.9989433288574205E-5</v>
      </c>
      <c r="J42" t="str">
        <f t="shared" si="4"/>
        <v>DOWN</v>
      </c>
      <c r="K42">
        <v>1.1698199987411499</v>
      </c>
      <c r="L42">
        <v>1.4600038528445001E-4</v>
      </c>
      <c r="M42" t="str">
        <f t="shared" si="5"/>
        <v>UP</v>
      </c>
      <c r="N42">
        <v>7.0200204849242198E-3</v>
      </c>
      <c r="O42" t="str">
        <f t="shared" si="6"/>
        <v>UP</v>
      </c>
      <c r="P42">
        <v>58.982980270044102</v>
      </c>
      <c r="Q42">
        <v>-4.4916968737654202</v>
      </c>
      <c r="R42" t="str">
        <f t="shared" si="7"/>
        <v>DOWN</v>
      </c>
      <c r="S42">
        <v>1.1763999462127599</v>
      </c>
      <c r="T42" t="str">
        <f t="shared" si="0"/>
        <v>DOWN</v>
      </c>
      <c r="U42">
        <v>1.1769499778747501</v>
      </c>
      <c r="V42" t="str">
        <f t="shared" si="1"/>
        <v>DOWN</v>
      </c>
      <c r="W42">
        <v>1.1773999929428101</v>
      </c>
      <c r="X42" t="str">
        <f t="shared" si="2"/>
        <v>DOWN</v>
      </c>
      <c r="Y42">
        <v>1.17904996871948</v>
      </c>
      <c r="Z42" t="str">
        <f t="shared" si="3"/>
        <v>DOWN</v>
      </c>
      <c r="AA42">
        <v>0</v>
      </c>
      <c r="AB42">
        <v>0</v>
      </c>
      <c r="AC42">
        <v>0</v>
      </c>
      <c r="AD42">
        <v>0</v>
      </c>
    </row>
    <row r="43" spans="1:30" hidden="1" x14ac:dyDescent="0.35">
      <c r="A43" s="2">
        <v>45876</v>
      </c>
      <c r="B43" t="s">
        <v>21</v>
      </c>
      <c r="C43">
        <v>1.17375004291534</v>
      </c>
      <c r="D43">
        <v>1.1755499839782699</v>
      </c>
      <c r="E43">
        <v>1.1727499961853001</v>
      </c>
      <c r="F43">
        <v>1.1755499839782699</v>
      </c>
      <c r="G43">
        <v>12</v>
      </c>
      <c r="H43">
        <v>1.17626001834869</v>
      </c>
      <c r="I43">
        <v>-5.8000087738041496E-4</v>
      </c>
      <c r="J43" t="str">
        <f t="shared" si="4"/>
        <v>DOWN</v>
      </c>
      <c r="K43">
        <v>1.1699600005149799</v>
      </c>
      <c r="L43">
        <v>1.4000177383421901E-4</v>
      </c>
      <c r="M43" t="str">
        <f t="shared" si="5"/>
        <v>UP</v>
      </c>
      <c r="N43">
        <v>6.3000178337095898E-3</v>
      </c>
      <c r="O43" t="str">
        <f t="shared" si="6"/>
        <v>UP</v>
      </c>
      <c r="P43">
        <v>50.144819315626599</v>
      </c>
      <c r="Q43">
        <v>-8.8381609544174999</v>
      </c>
      <c r="R43" t="str">
        <f t="shared" si="7"/>
        <v>DOWN</v>
      </c>
      <c r="S43">
        <v>1.1755499839782699</v>
      </c>
      <c r="T43" t="str">
        <f t="shared" si="0"/>
        <v>DOWN</v>
      </c>
      <c r="U43">
        <v>1.1763999462127599</v>
      </c>
      <c r="V43" t="str">
        <f t="shared" si="1"/>
        <v>DOWN</v>
      </c>
      <c r="W43">
        <v>1.1763499975204399</v>
      </c>
      <c r="X43" t="str">
        <f t="shared" si="2"/>
        <v>DOWN</v>
      </c>
      <c r="Y43">
        <v>1.1773999929428101</v>
      </c>
      <c r="Z43" t="str">
        <f t="shared" si="3"/>
        <v>DOWN</v>
      </c>
      <c r="AA43">
        <v>0</v>
      </c>
      <c r="AB43">
        <v>0</v>
      </c>
      <c r="AC43">
        <v>0</v>
      </c>
      <c r="AD43">
        <v>0</v>
      </c>
    </row>
    <row r="44" spans="1:30" hidden="1" x14ac:dyDescent="0.35">
      <c r="A44" s="2">
        <v>45876</v>
      </c>
      <c r="B44" t="s">
        <v>22</v>
      </c>
      <c r="C44">
        <v>1.17460000514984</v>
      </c>
      <c r="D44">
        <v>1.17460000514984</v>
      </c>
      <c r="E44">
        <v>1.17349994182586</v>
      </c>
      <c r="F44">
        <v>1.17349994182586</v>
      </c>
      <c r="G44">
        <v>0</v>
      </c>
      <c r="H44">
        <v>1.17555000782012</v>
      </c>
      <c r="I44">
        <v>-7.1001052856445302E-4</v>
      </c>
      <c r="J44" t="str">
        <f t="shared" si="4"/>
        <v>DOWN</v>
      </c>
      <c r="K44">
        <v>1.1701460003852799</v>
      </c>
      <c r="L44">
        <v>1.8599987030021301E-4</v>
      </c>
      <c r="M44" t="str">
        <f t="shared" si="5"/>
        <v>UP</v>
      </c>
      <c r="N44">
        <v>5.4040074348449202E-3</v>
      </c>
      <c r="O44" t="str">
        <f t="shared" si="6"/>
        <v>UP</v>
      </c>
      <c r="P44">
        <v>53.585905544337898</v>
      </c>
      <c r="Q44">
        <v>3.44108622871134</v>
      </c>
      <c r="R44" t="str">
        <f t="shared" si="7"/>
        <v>UP</v>
      </c>
      <c r="S44">
        <v>1.1727499961853001</v>
      </c>
      <c r="T44" t="str">
        <f t="shared" si="0"/>
        <v>UP</v>
      </c>
      <c r="U44">
        <v>1.1755499839782699</v>
      </c>
      <c r="V44" t="str">
        <f t="shared" si="1"/>
        <v>DOWN</v>
      </c>
      <c r="W44">
        <v>1.1755499839782699</v>
      </c>
      <c r="X44" t="str">
        <f t="shared" si="2"/>
        <v>DOWN</v>
      </c>
      <c r="Y44">
        <v>1.1763499975204399</v>
      </c>
      <c r="Z44" t="str">
        <f t="shared" si="3"/>
        <v>DOWN</v>
      </c>
      <c r="AA44">
        <v>0</v>
      </c>
      <c r="AB44">
        <v>0</v>
      </c>
      <c r="AC44">
        <v>0</v>
      </c>
      <c r="AD44">
        <v>0</v>
      </c>
    </row>
    <row r="45" spans="1:30" hidden="1" x14ac:dyDescent="0.35">
      <c r="A45" s="2">
        <v>45876</v>
      </c>
      <c r="B45" t="s">
        <v>23</v>
      </c>
      <c r="C45">
        <v>1.17390000820159</v>
      </c>
      <c r="D45">
        <v>1.17464995384216</v>
      </c>
      <c r="E45">
        <v>1.1732499599456701</v>
      </c>
      <c r="F45">
        <v>1.17464995384216</v>
      </c>
      <c r="G45">
        <v>364</v>
      </c>
      <c r="H45">
        <v>1.17485001087188</v>
      </c>
      <c r="I45">
        <v>-6.9999694824218696E-4</v>
      </c>
      <c r="J45" t="str">
        <f t="shared" si="4"/>
        <v>DOWN</v>
      </c>
      <c r="K45">
        <v>1.1703190016746501</v>
      </c>
      <c r="L45">
        <v>1.7300128936770199E-4</v>
      </c>
      <c r="M45" t="str">
        <f t="shared" si="5"/>
        <v>UP</v>
      </c>
      <c r="N45">
        <v>4.5310091972350303E-3</v>
      </c>
      <c r="O45" t="str">
        <f t="shared" si="6"/>
        <v>UP</v>
      </c>
      <c r="P45">
        <v>50.494804804090698</v>
      </c>
      <c r="Q45">
        <v>-3.0911007402472701</v>
      </c>
      <c r="R45" t="str">
        <f t="shared" si="7"/>
        <v>DOWN</v>
      </c>
      <c r="S45">
        <v>1.17349994182586</v>
      </c>
      <c r="T45" t="str">
        <f t="shared" si="0"/>
        <v>DOWN</v>
      </c>
      <c r="U45">
        <v>1.1727499961853001</v>
      </c>
      <c r="V45" t="str">
        <f t="shared" si="1"/>
        <v>UP</v>
      </c>
      <c r="W45">
        <v>1.17460000514984</v>
      </c>
      <c r="X45" t="str">
        <f t="shared" si="2"/>
        <v>UP</v>
      </c>
      <c r="Y45">
        <v>1.1755499839782699</v>
      </c>
      <c r="Z45" t="str">
        <f t="shared" si="3"/>
        <v>DOWN</v>
      </c>
      <c r="AA45">
        <v>0</v>
      </c>
      <c r="AB45">
        <v>0</v>
      </c>
      <c r="AC45">
        <v>0</v>
      </c>
      <c r="AD45">
        <v>0</v>
      </c>
    </row>
    <row r="46" spans="1:30" hidden="1" x14ac:dyDescent="0.35">
      <c r="A46" s="2">
        <v>45876</v>
      </c>
      <c r="B46" t="s">
        <v>24</v>
      </c>
      <c r="C46">
        <v>1.1716500520706099</v>
      </c>
      <c r="D46">
        <v>1.17414999008178</v>
      </c>
      <c r="E46">
        <v>1.17069995403289</v>
      </c>
      <c r="F46">
        <v>1.17414999008178</v>
      </c>
      <c r="G46">
        <v>0</v>
      </c>
      <c r="H46">
        <v>1.1739000320434501</v>
      </c>
      <c r="I46">
        <v>-9.4997882843017502E-4</v>
      </c>
      <c r="J46" t="str">
        <f t="shared" si="4"/>
        <v>DOWN</v>
      </c>
      <c r="K46">
        <v>1.1704440021514799</v>
      </c>
      <c r="L46">
        <v>1.25000476837167E-4</v>
      </c>
      <c r="M46" t="str">
        <f t="shared" si="5"/>
        <v>UP</v>
      </c>
      <c r="N46">
        <v>3.45602989196769E-3</v>
      </c>
      <c r="O46" t="str">
        <f t="shared" si="6"/>
        <v>UP</v>
      </c>
      <c r="P46">
        <v>42.090379630367202</v>
      </c>
      <c r="Q46">
        <v>-8.4044251737234905</v>
      </c>
      <c r="R46" t="str">
        <f t="shared" si="7"/>
        <v>DOWN</v>
      </c>
      <c r="S46">
        <v>1.1732499599456701</v>
      </c>
      <c r="T46" t="str">
        <f t="shared" si="0"/>
        <v>DOWN</v>
      </c>
      <c r="U46">
        <v>1.17349994182586</v>
      </c>
      <c r="V46" t="str">
        <f t="shared" si="1"/>
        <v>DOWN</v>
      </c>
      <c r="W46">
        <v>1.17464995384216</v>
      </c>
      <c r="X46" t="str">
        <f t="shared" si="2"/>
        <v>DOWN</v>
      </c>
      <c r="Y46">
        <v>1.17460000514984</v>
      </c>
      <c r="Z46" t="str">
        <f t="shared" si="3"/>
        <v>DOWN</v>
      </c>
      <c r="AA46">
        <v>0</v>
      </c>
      <c r="AB46">
        <v>0</v>
      </c>
      <c r="AC46">
        <v>0</v>
      </c>
      <c r="AD46">
        <v>0</v>
      </c>
    </row>
    <row r="47" spans="1:30" hidden="1" x14ac:dyDescent="0.35">
      <c r="A47" s="2">
        <v>45876</v>
      </c>
      <c r="B47" t="s">
        <v>25</v>
      </c>
      <c r="C47">
        <v>1.1731499433517401</v>
      </c>
      <c r="D47">
        <v>1.1732000112533501</v>
      </c>
      <c r="E47">
        <v>1.17050004005432</v>
      </c>
      <c r="F47">
        <v>1.1714500188827499</v>
      </c>
      <c r="G47">
        <v>657</v>
      </c>
      <c r="H47">
        <v>1.17341001033782</v>
      </c>
      <c r="I47">
        <v>-4.90021705627397E-4</v>
      </c>
      <c r="J47" t="str">
        <f t="shared" si="4"/>
        <v>DOWN</v>
      </c>
      <c r="K47">
        <v>1.1706210017204199</v>
      </c>
      <c r="L47">
        <v>1.7699956893912899E-4</v>
      </c>
      <c r="M47" t="str">
        <f t="shared" si="5"/>
        <v>UP</v>
      </c>
      <c r="N47">
        <v>2.7890086174011601E-3</v>
      </c>
      <c r="O47" t="str">
        <f t="shared" si="6"/>
        <v>UP</v>
      </c>
      <c r="P47">
        <v>48.271428993791503</v>
      </c>
      <c r="Q47">
        <v>6.1810493634243704</v>
      </c>
      <c r="R47" t="str">
        <f t="shared" si="7"/>
        <v>UP</v>
      </c>
      <c r="S47">
        <v>1.17069995403289</v>
      </c>
      <c r="T47" t="str">
        <f t="shared" si="0"/>
        <v>DOWN</v>
      </c>
      <c r="U47">
        <v>1.1732499599456701</v>
      </c>
      <c r="V47" t="str">
        <f t="shared" si="1"/>
        <v>DOWN</v>
      </c>
      <c r="W47">
        <v>1.17414999008178</v>
      </c>
      <c r="X47" t="str">
        <f t="shared" si="2"/>
        <v>DOWN</v>
      </c>
      <c r="Y47">
        <v>1.17464995384216</v>
      </c>
      <c r="Z47" t="str">
        <f t="shared" si="3"/>
        <v>DOWN</v>
      </c>
      <c r="AA47">
        <v>0</v>
      </c>
      <c r="AB47">
        <v>1</v>
      </c>
      <c r="AC47">
        <v>0</v>
      </c>
      <c r="AD47">
        <v>0</v>
      </c>
    </row>
    <row r="48" spans="1:30" hidden="1" x14ac:dyDescent="0.35">
      <c r="A48" s="2">
        <v>45876</v>
      </c>
      <c r="B48" t="s">
        <v>26</v>
      </c>
      <c r="C48">
        <v>1.1730500459671001</v>
      </c>
      <c r="D48">
        <v>1.1731499433517401</v>
      </c>
      <c r="E48">
        <v>1.1730500459671001</v>
      </c>
      <c r="F48">
        <v>1.1731499433517401</v>
      </c>
      <c r="G48">
        <v>0</v>
      </c>
      <c r="H48">
        <v>1.17327001094818</v>
      </c>
      <c r="I48">
        <v>-1.3999938964848099E-4</v>
      </c>
      <c r="J48" t="str">
        <f t="shared" si="4"/>
        <v>DOWN</v>
      </c>
      <c r="K48">
        <v>1.17079000234603</v>
      </c>
      <c r="L48">
        <v>1.69000625610538E-4</v>
      </c>
      <c r="M48" t="str">
        <f t="shared" si="5"/>
        <v>UP</v>
      </c>
      <c r="N48">
        <v>2.4800086021421401E-3</v>
      </c>
      <c r="O48" t="str">
        <f t="shared" si="6"/>
        <v>UP</v>
      </c>
      <c r="P48">
        <v>47.904680395804498</v>
      </c>
      <c r="Q48">
        <v>-0.366748597987061</v>
      </c>
      <c r="R48" t="str">
        <f t="shared" si="7"/>
        <v>DOWN</v>
      </c>
      <c r="S48">
        <v>1.17050004005432</v>
      </c>
      <c r="T48" t="str">
        <f t="shared" si="0"/>
        <v>UP</v>
      </c>
      <c r="U48">
        <v>1.17069995403289</v>
      </c>
      <c r="V48" t="str">
        <f t="shared" si="1"/>
        <v>UP</v>
      </c>
      <c r="W48">
        <v>1.1732000112533501</v>
      </c>
      <c r="X48" t="str">
        <f t="shared" si="2"/>
        <v>DOWN</v>
      </c>
      <c r="Y48">
        <v>1.17414999008178</v>
      </c>
      <c r="Z48" t="str">
        <f t="shared" si="3"/>
        <v>DOWN</v>
      </c>
      <c r="AA48">
        <v>0</v>
      </c>
      <c r="AB48">
        <v>0</v>
      </c>
      <c r="AC48">
        <v>0</v>
      </c>
      <c r="AD48">
        <v>0</v>
      </c>
    </row>
    <row r="49" spans="1:30" hidden="1" x14ac:dyDescent="0.35">
      <c r="A49" s="2">
        <v>45876</v>
      </c>
      <c r="B49" t="s">
        <v>27</v>
      </c>
      <c r="C49">
        <v>1.1729999780654901</v>
      </c>
      <c r="D49">
        <v>1.1729999780654901</v>
      </c>
      <c r="E49">
        <v>1.1729999780654901</v>
      </c>
      <c r="F49">
        <v>1.1729999780654901</v>
      </c>
      <c r="G49">
        <v>0</v>
      </c>
      <c r="H49">
        <v>1.17295000553131</v>
      </c>
      <c r="I49">
        <v>-3.2000541686993901E-4</v>
      </c>
      <c r="J49" t="str">
        <f t="shared" si="4"/>
        <v>DOWN</v>
      </c>
      <c r="K49">
        <v>1.1709840011596599</v>
      </c>
      <c r="L49">
        <v>1.9399881362902599E-4</v>
      </c>
      <c r="M49" t="str">
        <f t="shared" si="5"/>
        <v>UP</v>
      </c>
      <c r="N49">
        <v>1.9660043716431801E-3</v>
      </c>
      <c r="O49" t="str">
        <f t="shared" si="6"/>
        <v>UP</v>
      </c>
      <c r="P49">
        <v>47.709035331016402</v>
      </c>
      <c r="Q49">
        <v>-0.19564506478805299</v>
      </c>
      <c r="R49" t="str">
        <f t="shared" si="7"/>
        <v>DOWN</v>
      </c>
      <c r="S49">
        <v>1.1730500459671001</v>
      </c>
      <c r="T49" t="str">
        <f t="shared" si="0"/>
        <v>DOWN</v>
      </c>
      <c r="U49">
        <v>1.17050004005432</v>
      </c>
      <c r="V49" t="str">
        <f t="shared" si="1"/>
        <v>UP</v>
      </c>
      <c r="W49">
        <v>1.1731499433517401</v>
      </c>
      <c r="X49" t="str">
        <f t="shared" si="2"/>
        <v>DOWN</v>
      </c>
      <c r="Y49">
        <v>1.1732000112533501</v>
      </c>
      <c r="Z49" t="str">
        <f t="shared" si="3"/>
        <v>DOWN</v>
      </c>
      <c r="AA49">
        <v>0</v>
      </c>
      <c r="AB49">
        <v>0</v>
      </c>
      <c r="AC49">
        <v>0</v>
      </c>
      <c r="AD49">
        <v>0</v>
      </c>
    </row>
    <row r="50" spans="1:30" hidden="1" x14ac:dyDescent="0.35">
      <c r="A50" s="2">
        <v>45876</v>
      </c>
      <c r="B50" t="s">
        <v>38</v>
      </c>
      <c r="C50">
        <v>1.1719000339507999</v>
      </c>
      <c r="D50">
        <v>1.1719000339507999</v>
      </c>
      <c r="E50">
        <v>1.1719000339507999</v>
      </c>
      <c r="F50">
        <v>1.1719000339507999</v>
      </c>
      <c r="G50">
        <v>686</v>
      </c>
      <c r="H50">
        <v>1.1725500106811499</v>
      </c>
      <c r="I50">
        <v>-3.99994850158735E-4</v>
      </c>
      <c r="J50" t="str">
        <f t="shared" si="4"/>
        <v>DOWN</v>
      </c>
      <c r="K50">
        <v>1.1711520028114299</v>
      </c>
      <c r="L50">
        <v>1.6800165176400399E-4</v>
      </c>
      <c r="M50" t="str">
        <f t="shared" si="5"/>
        <v>UP</v>
      </c>
      <c r="N50">
        <v>1.3980078697204399E-3</v>
      </c>
      <c r="O50" t="str">
        <f t="shared" si="6"/>
        <v>UP</v>
      </c>
      <c r="P50">
        <v>43.505355901798097</v>
      </c>
      <c r="Q50">
        <v>-4.2036794292182904</v>
      </c>
      <c r="R50" t="str">
        <f t="shared" si="7"/>
        <v>DOWN</v>
      </c>
      <c r="S50">
        <v>1.1729999780654901</v>
      </c>
      <c r="T50" t="str">
        <f t="shared" si="0"/>
        <v>DOWN</v>
      </c>
      <c r="U50">
        <v>1.1730500459671001</v>
      </c>
      <c r="V50" t="str">
        <f t="shared" si="1"/>
        <v>DOWN</v>
      </c>
      <c r="W50">
        <v>1.1729999780654901</v>
      </c>
      <c r="X50" t="str">
        <f t="shared" si="2"/>
        <v>DOWN</v>
      </c>
      <c r="Y50">
        <v>1.1731499433517401</v>
      </c>
      <c r="Z50" t="str">
        <f t="shared" si="3"/>
        <v>DOWN</v>
      </c>
      <c r="AA50">
        <v>0</v>
      </c>
      <c r="AB50">
        <v>0</v>
      </c>
      <c r="AC50">
        <v>0</v>
      </c>
      <c r="AD50">
        <v>0</v>
      </c>
    </row>
    <row r="51" spans="1:30" hidden="1" x14ac:dyDescent="0.35">
      <c r="A51" s="2">
        <v>45876</v>
      </c>
      <c r="B51" t="s">
        <v>28</v>
      </c>
      <c r="C51">
        <v>1.17439997196197</v>
      </c>
      <c r="D51">
        <v>1.1748000383377</v>
      </c>
      <c r="E51">
        <v>1.1712000370025599</v>
      </c>
      <c r="F51">
        <v>1.1714999675750699</v>
      </c>
      <c r="G51">
        <v>45</v>
      </c>
      <c r="H51">
        <v>1.1730999946594201</v>
      </c>
      <c r="I51">
        <v>5.4998397827143997E-4</v>
      </c>
      <c r="J51" t="str">
        <f t="shared" si="4"/>
        <v>UP</v>
      </c>
      <c r="K51">
        <v>1.1713630032539299</v>
      </c>
      <c r="L51">
        <v>2.11000442504882E-4</v>
      </c>
      <c r="M51" t="str">
        <f t="shared" si="5"/>
        <v>UP</v>
      </c>
      <c r="N51">
        <v>1.7369914054869899E-3</v>
      </c>
      <c r="O51" t="str">
        <f t="shared" si="6"/>
        <v>UP</v>
      </c>
      <c r="P51">
        <v>53.527645232121003</v>
      </c>
      <c r="Q51">
        <v>10.022289330322799</v>
      </c>
      <c r="R51" t="str">
        <f t="shared" si="7"/>
        <v>UP</v>
      </c>
      <c r="S51">
        <v>1.1719000339507999</v>
      </c>
      <c r="T51" t="str">
        <f t="shared" si="0"/>
        <v>DOWN</v>
      </c>
      <c r="U51">
        <v>1.1729999780654901</v>
      </c>
      <c r="V51" t="str">
        <f t="shared" si="1"/>
        <v>DOWN</v>
      </c>
      <c r="W51">
        <v>1.1719000339507999</v>
      </c>
      <c r="X51" t="str">
        <f t="shared" si="2"/>
        <v>UP</v>
      </c>
      <c r="Y51">
        <v>1.1729999780654901</v>
      </c>
      <c r="Z51" t="str">
        <f t="shared" si="3"/>
        <v>UP</v>
      </c>
      <c r="AA51">
        <v>0</v>
      </c>
      <c r="AB51">
        <v>0</v>
      </c>
      <c r="AC51">
        <v>0</v>
      </c>
      <c r="AD51">
        <v>0</v>
      </c>
    </row>
    <row r="52" spans="1:30" hidden="1" x14ac:dyDescent="0.35">
      <c r="A52" s="2">
        <v>45876</v>
      </c>
      <c r="B52" t="s">
        <v>39</v>
      </c>
      <c r="C52">
        <v>1.1759999990463199</v>
      </c>
      <c r="D52">
        <v>1.1759999990463199</v>
      </c>
      <c r="E52">
        <v>1.17515003681182</v>
      </c>
      <c r="F52">
        <v>1.17515003681182</v>
      </c>
      <c r="G52">
        <v>7</v>
      </c>
      <c r="H52">
        <v>1.17367000579833</v>
      </c>
      <c r="I52">
        <v>5.70011138915971E-4</v>
      </c>
      <c r="J52" t="str">
        <f t="shared" si="4"/>
        <v>UP</v>
      </c>
      <c r="K52">
        <v>1.17162400245666</v>
      </c>
      <c r="L52">
        <v>2.6099920272826201E-4</v>
      </c>
      <c r="M52" t="str">
        <f t="shared" si="5"/>
        <v>UP</v>
      </c>
      <c r="N52">
        <v>2.0460033416747E-3</v>
      </c>
      <c r="O52" t="str">
        <f t="shared" si="6"/>
        <v>UP</v>
      </c>
      <c r="P52">
        <v>58.590987759529902</v>
      </c>
      <c r="Q52">
        <v>5.0633425274089197</v>
      </c>
      <c r="R52" t="str">
        <f t="shared" si="7"/>
        <v>UP</v>
      </c>
      <c r="S52">
        <v>1.1712000370025599</v>
      </c>
      <c r="T52" t="str">
        <f t="shared" si="0"/>
        <v>UP</v>
      </c>
      <c r="U52">
        <v>1.1719000339507999</v>
      </c>
      <c r="V52" t="str">
        <f t="shared" si="1"/>
        <v>UP</v>
      </c>
      <c r="W52">
        <v>1.1748000383377</v>
      </c>
      <c r="X52" t="str">
        <f t="shared" si="2"/>
        <v>UP</v>
      </c>
      <c r="Y52">
        <v>1.1719000339507999</v>
      </c>
      <c r="Z52" t="str">
        <f t="shared" si="3"/>
        <v>UP</v>
      </c>
      <c r="AA52">
        <v>0</v>
      </c>
      <c r="AB52">
        <v>0</v>
      </c>
      <c r="AC52">
        <v>0</v>
      </c>
      <c r="AD52">
        <v>0</v>
      </c>
    </row>
    <row r="53" spans="1:30" hidden="1" x14ac:dyDescent="0.35">
      <c r="A53" s="2">
        <v>45876</v>
      </c>
      <c r="B53" t="s">
        <v>40</v>
      </c>
      <c r="C53">
        <v>1.1766999959945601</v>
      </c>
      <c r="D53">
        <v>1.1766999959945601</v>
      </c>
      <c r="E53">
        <v>1.1766999959945601</v>
      </c>
      <c r="F53">
        <v>1.1766999959945601</v>
      </c>
      <c r="G53">
        <v>0</v>
      </c>
      <c r="H53">
        <v>1.17439999580383</v>
      </c>
      <c r="I53">
        <v>7.29990005493119E-4</v>
      </c>
      <c r="J53" t="str">
        <f t="shared" si="4"/>
        <v>UP</v>
      </c>
      <c r="K53">
        <v>1.1718930029868999</v>
      </c>
      <c r="L53">
        <v>2.6900053024281302E-4</v>
      </c>
      <c r="M53" t="str">
        <f t="shared" si="5"/>
        <v>UP</v>
      </c>
      <c r="N53">
        <v>2.5069928169250098E-3</v>
      </c>
      <c r="O53" t="str">
        <f t="shared" si="6"/>
        <v>UP</v>
      </c>
      <c r="P53">
        <v>60.6128461034072</v>
      </c>
      <c r="Q53">
        <v>2.0218583438772399</v>
      </c>
      <c r="R53" t="str">
        <f t="shared" si="7"/>
        <v>UP</v>
      </c>
      <c r="S53">
        <v>1.17515003681182</v>
      </c>
      <c r="T53" t="str">
        <f t="shared" si="0"/>
        <v>UP</v>
      </c>
      <c r="U53">
        <v>1.1712000370025599</v>
      </c>
      <c r="V53" t="str">
        <f t="shared" si="1"/>
        <v>UP</v>
      </c>
      <c r="W53">
        <v>1.1759999990463199</v>
      </c>
      <c r="X53" t="str">
        <f t="shared" si="2"/>
        <v>UP</v>
      </c>
      <c r="Y53">
        <v>1.1748000383377</v>
      </c>
      <c r="Z53" t="str">
        <f t="shared" si="3"/>
        <v>UP</v>
      </c>
      <c r="AA53">
        <v>0</v>
      </c>
      <c r="AB53">
        <v>0</v>
      </c>
      <c r="AC53">
        <v>0</v>
      </c>
      <c r="AD53">
        <v>0</v>
      </c>
    </row>
    <row r="54" spans="1:30" hidden="1" x14ac:dyDescent="0.35">
      <c r="A54" s="2">
        <v>45876</v>
      </c>
      <c r="B54" t="s">
        <v>42</v>
      </c>
      <c r="C54">
        <v>1.1767499446868801</v>
      </c>
      <c r="D54">
        <v>1.1768499612808201</v>
      </c>
      <c r="E54">
        <v>1.1767499446868801</v>
      </c>
      <c r="F54">
        <v>1.1768499612808201</v>
      </c>
      <c r="G54">
        <v>3</v>
      </c>
      <c r="H54">
        <v>1.1751499891281101</v>
      </c>
      <c r="I54">
        <v>7.4999332427982902E-4</v>
      </c>
      <c r="J54" t="str">
        <f t="shared" si="4"/>
        <v>UP</v>
      </c>
      <c r="K54">
        <v>1.17217000246047</v>
      </c>
      <c r="L54">
        <v>2.7699947357184802E-4</v>
      </c>
      <c r="M54" t="str">
        <f t="shared" si="5"/>
        <v>UP</v>
      </c>
      <c r="N54">
        <v>2.9799866676329901E-3</v>
      </c>
      <c r="O54" t="str">
        <f t="shared" si="6"/>
        <v>UP</v>
      </c>
      <c r="P54">
        <v>60.760076224088301</v>
      </c>
      <c r="Q54">
        <v>0.14723012068116501</v>
      </c>
      <c r="R54" t="str">
        <f t="shared" si="7"/>
        <v>UP</v>
      </c>
      <c r="S54">
        <v>1.1766999959945601</v>
      </c>
      <c r="T54" t="str">
        <f t="shared" si="0"/>
        <v>UP</v>
      </c>
      <c r="U54">
        <v>1.17515003681182</v>
      </c>
      <c r="V54" t="str">
        <f t="shared" si="1"/>
        <v>UP</v>
      </c>
      <c r="W54">
        <v>1.1766999959945601</v>
      </c>
      <c r="X54" t="str">
        <f t="shared" si="2"/>
        <v>UP</v>
      </c>
      <c r="Y54">
        <v>1.1759999990463199</v>
      </c>
      <c r="Z54" t="str">
        <f t="shared" si="3"/>
        <v>UP</v>
      </c>
      <c r="AA54">
        <v>0</v>
      </c>
      <c r="AB54">
        <v>0</v>
      </c>
      <c r="AC54">
        <v>0</v>
      </c>
      <c r="AD54">
        <v>0</v>
      </c>
    </row>
    <row r="55" spans="1:30" hidden="1" x14ac:dyDescent="0.35">
      <c r="A55" s="2">
        <v>45877</v>
      </c>
      <c r="B55" t="s">
        <v>29</v>
      </c>
      <c r="C55">
        <v>1.1763999462127599</v>
      </c>
      <c r="D55">
        <v>1.1767499446868801</v>
      </c>
      <c r="E55">
        <v>1.1763999462127599</v>
      </c>
      <c r="F55">
        <v>1.1767499446868801</v>
      </c>
      <c r="G55">
        <v>4</v>
      </c>
      <c r="H55">
        <v>1.1760499715805</v>
      </c>
      <c r="I55">
        <v>8.9998245239253296E-4</v>
      </c>
      <c r="J55" t="str">
        <f t="shared" si="4"/>
        <v>UP</v>
      </c>
      <c r="K55">
        <v>1.1724410009384101</v>
      </c>
      <c r="L55">
        <v>2.7099847793587902E-4</v>
      </c>
      <c r="M55" t="str">
        <f t="shared" si="5"/>
        <v>UP</v>
      </c>
      <c r="N55">
        <v>3.6089706420896401E-3</v>
      </c>
      <c r="O55" t="str">
        <f t="shared" si="6"/>
        <v>UP</v>
      </c>
      <c r="P55">
        <v>59.0931890395686</v>
      </c>
      <c r="Q55">
        <v>-1.6668871845197799</v>
      </c>
      <c r="R55" t="str">
        <f t="shared" si="7"/>
        <v>DOWN</v>
      </c>
      <c r="S55">
        <v>1.1767499446868801</v>
      </c>
      <c r="T55" t="str">
        <f t="shared" si="0"/>
        <v>DOWN</v>
      </c>
      <c r="U55">
        <v>1.1766999959945601</v>
      </c>
      <c r="V55" t="str">
        <f t="shared" si="1"/>
        <v>DOWN</v>
      </c>
      <c r="W55">
        <v>1.1768499612808201</v>
      </c>
      <c r="X55" t="str">
        <f t="shared" si="2"/>
        <v>DOWN</v>
      </c>
      <c r="Y55">
        <v>1.1766999959945601</v>
      </c>
      <c r="Z55" t="str">
        <f t="shared" si="3"/>
        <v>UP</v>
      </c>
      <c r="AA55">
        <v>1</v>
      </c>
      <c r="AB55">
        <v>0</v>
      </c>
      <c r="AC55">
        <v>0</v>
      </c>
      <c r="AD55">
        <v>0</v>
      </c>
    </row>
    <row r="56" spans="1:30" hidden="1" x14ac:dyDescent="0.35">
      <c r="A56" s="2">
        <v>45877</v>
      </c>
      <c r="B56" t="s">
        <v>30</v>
      </c>
      <c r="C56">
        <v>1.1748000383377</v>
      </c>
      <c r="D56">
        <v>1.17505002021789</v>
      </c>
      <c r="E56">
        <v>1.17474997043609</v>
      </c>
      <c r="F56">
        <v>1.17505002021789</v>
      </c>
      <c r="G56">
        <v>11</v>
      </c>
      <c r="H56">
        <v>1.1761299848556499</v>
      </c>
      <c r="I56" s="1">
        <v>8.0013275146617602E-5</v>
      </c>
      <c r="J56" t="str">
        <f t="shared" si="4"/>
        <v>UP</v>
      </c>
      <c r="K56">
        <v>1.1726170015335</v>
      </c>
      <c r="L56">
        <v>1.7600059509259499E-4</v>
      </c>
      <c r="M56" t="str">
        <f t="shared" si="5"/>
        <v>UP</v>
      </c>
      <c r="N56">
        <v>3.5129833221436702E-3</v>
      </c>
      <c r="O56" t="str">
        <f t="shared" si="6"/>
        <v>UP</v>
      </c>
      <c r="P56">
        <v>52.062093005549499</v>
      </c>
      <c r="Q56">
        <v>-7.0310960340191002</v>
      </c>
      <c r="R56" t="str">
        <f t="shared" si="7"/>
        <v>DOWN</v>
      </c>
      <c r="S56">
        <v>1.1763999462127599</v>
      </c>
      <c r="T56" t="str">
        <f t="shared" si="0"/>
        <v>DOWN</v>
      </c>
      <c r="U56">
        <v>1.1767499446868801</v>
      </c>
      <c r="V56" t="str">
        <f t="shared" si="1"/>
        <v>DOWN</v>
      </c>
      <c r="W56">
        <v>1.1767499446868801</v>
      </c>
      <c r="X56" t="str">
        <f t="shared" si="2"/>
        <v>DOWN</v>
      </c>
      <c r="Y56">
        <v>1.1768499612808201</v>
      </c>
      <c r="Z56" t="str">
        <f t="shared" si="3"/>
        <v>DOWN</v>
      </c>
      <c r="AA56">
        <v>0</v>
      </c>
      <c r="AB56">
        <v>0</v>
      </c>
      <c r="AC56">
        <v>0</v>
      </c>
      <c r="AD56">
        <v>0</v>
      </c>
    </row>
    <row r="57" spans="1:30" hidden="1" x14ac:dyDescent="0.35">
      <c r="A57" s="2">
        <v>45877</v>
      </c>
      <c r="B57" t="s">
        <v>31</v>
      </c>
      <c r="C57">
        <v>1.17490005493164</v>
      </c>
      <c r="D57">
        <v>1.17495000362396</v>
      </c>
      <c r="E57">
        <v>1.17490005493164</v>
      </c>
      <c r="F57">
        <v>1.17495000362396</v>
      </c>
      <c r="G57">
        <v>5</v>
      </c>
      <c r="H57">
        <v>1.17590999603271</v>
      </c>
      <c r="I57">
        <v>-2.1998882293705599E-4</v>
      </c>
      <c r="J57" t="str">
        <f t="shared" si="4"/>
        <v>DOWN</v>
      </c>
      <c r="K57">
        <v>1.1727640032768201</v>
      </c>
      <c r="L57">
        <v>1.4700174331672101E-4</v>
      </c>
      <c r="M57" t="str">
        <f t="shared" si="5"/>
        <v>UP</v>
      </c>
      <c r="N57">
        <v>3.14599275588989E-3</v>
      </c>
      <c r="O57" t="str">
        <f t="shared" si="6"/>
        <v>UP</v>
      </c>
      <c r="P57">
        <v>52.443037305495103</v>
      </c>
      <c r="Q57">
        <v>0.38094429994568901</v>
      </c>
      <c r="R57" t="str">
        <f t="shared" si="7"/>
        <v>UP</v>
      </c>
      <c r="S57">
        <v>1.17474997043609</v>
      </c>
      <c r="T57" t="str">
        <f t="shared" si="0"/>
        <v>UP</v>
      </c>
      <c r="U57">
        <v>1.1763999462127599</v>
      </c>
      <c r="V57" t="str">
        <f t="shared" si="1"/>
        <v>DOWN</v>
      </c>
      <c r="W57">
        <v>1.17505002021789</v>
      </c>
      <c r="X57" t="str">
        <f t="shared" si="2"/>
        <v>DOWN</v>
      </c>
      <c r="Y57">
        <v>1.1767499446868801</v>
      </c>
      <c r="Z57" t="str">
        <f t="shared" si="3"/>
        <v>DOWN</v>
      </c>
      <c r="AA57">
        <v>0</v>
      </c>
      <c r="AB57">
        <v>0</v>
      </c>
      <c r="AC57">
        <v>0</v>
      </c>
      <c r="AD57">
        <v>0</v>
      </c>
    </row>
    <row r="58" spans="1:30" hidden="1" x14ac:dyDescent="0.35">
      <c r="A58" s="2">
        <v>45877</v>
      </c>
      <c r="B58" t="s">
        <v>32</v>
      </c>
      <c r="C58">
        <v>1.17474997043609</v>
      </c>
      <c r="D58">
        <v>1.17490005493164</v>
      </c>
      <c r="E58">
        <v>1.17474997043609</v>
      </c>
      <c r="F58">
        <v>1.17490005493164</v>
      </c>
      <c r="G58">
        <v>10</v>
      </c>
      <c r="H58">
        <v>1.1755199909210201</v>
      </c>
      <c r="I58">
        <v>-3.9000511169429099E-4</v>
      </c>
      <c r="J58" t="str">
        <f t="shared" si="4"/>
        <v>DOWN</v>
      </c>
      <c r="K58">
        <v>1.17289700269699</v>
      </c>
      <c r="L58">
        <v>1.3299942016597999E-4</v>
      </c>
      <c r="M58" t="str">
        <f t="shared" si="5"/>
        <v>UP</v>
      </c>
      <c r="N58">
        <v>2.6229882240296201E-3</v>
      </c>
      <c r="O58" t="str">
        <f t="shared" si="6"/>
        <v>UP</v>
      </c>
      <c r="P58">
        <v>51.778105631626303</v>
      </c>
      <c r="Q58">
        <v>-0.664931673868835</v>
      </c>
      <c r="R58" t="str">
        <f t="shared" si="7"/>
        <v>DOWN</v>
      </c>
      <c r="S58">
        <v>1.17490005493164</v>
      </c>
      <c r="T58" t="str">
        <f t="shared" si="0"/>
        <v>DOWN</v>
      </c>
      <c r="U58">
        <v>1.17474997043609</v>
      </c>
      <c r="V58" t="str">
        <f t="shared" si="1"/>
        <v>UP</v>
      </c>
      <c r="W58">
        <v>1.17495000362396</v>
      </c>
      <c r="X58" t="str">
        <f t="shared" si="2"/>
        <v>DOWN</v>
      </c>
      <c r="Y58">
        <v>1.17505002021789</v>
      </c>
      <c r="Z58" t="str">
        <f t="shared" si="3"/>
        <v>DOWN</v>
      </c>
      <c r="AA58">
        <v>0</v>
      </c>
      <c r="AB58">
        <v>0</v>
      </c>
      <c r="AC58">
        <v>0</v>
      </c>
      <c r="AD58">
        <v>0</v>
      </c>
    </row>
    <row r="59" spans="1:30" hidden="1" x14ac:dyDescent="0.35">
      <c r="A59" s="2">
        <v>45877</v>
      </c>
      <c r="B59" t="s">
        <v>41</v>
      </c>
      <c r="C59">
        <v>1.17344999313354</v>
      </c>
      <c r="D59">
        <v>1.17420005798339</v>
      </c>
      <c r="E59">
        <v>1.17334997653961</v>
      </c>
      <c r="F59">
        <v>1.17420005798339</v>
      </c>
      <c r="G59">
        <v>27</v>
      </c>
      <c r="H59">
        <v>1.17486000061035</v>
      </c>
      <c r="I59">
        <v>-6.5999031066898896E-4</v>
      </c>
      <c r="J59" t="str">
        <f t="shared" si="4"/>
        <v>DOWN</v>
      </c>
      <c r="K59">
        <v>1.1730100035667399</v>
      </c>
      <c r="L59">
        <v>1.13000869750967E-4</v>
      </c>
      <c r="M59" t="str">
        <f t="shared" si="5"/>
        <v>UP</v>
      </c>
      <c r="N59">
        <v>1.8499970436096601E-3</v>
      </c>
      <c r="O59" t="str">
        <f t="shared" si="6"/>
        <v>UP</v>
      </c>
      <c r="P59">
        <v>46.301980364352303</v>
      </c>
      <c r="Q59">
        <v>-5.4761252672740204</v>
      </c>
      <c r="R59" t="str">
        <f t="shared" si="7"/>
        <v>DOWN</v>
      </c>
      <c r="S59">
        <v>1.17474997043609</v>
      </c>
      <c r="T59" t="str">
        <f t="shared" si="0"/>
        <v>DOWN</v>
      </c>
      <c r="U59">
        <v>1.17490005493164</v>
      </c>
      <c r="V59" t="str">
        <f t="shared" si="1"/>
        <v>DOWN</v>
      </c>
      <c r="W59">
        <v>1.17490005493164</v>
      </c>
      <c r="X59" t="str">
        <f t="shared" si="2"/>
        <v>DOWN</v>
      </c>
      <c r="Y59">
        <v>1.17495000362396</v>
      </c>
      <c r="Z59" t="str">
        <f t="shared" si="3"/>
        <v>DOWN</v>
      </c>
      <c r="AA59">
        <v>0</v>
      </c>
      <c r="AB59">
        <v>0</v>
      </c>
      <c r="AC59">
        <v>0</v>
      </c>
      <c r="AD59">
        <v>0</v>
      </c>
    </row>
    <row r="60" spans="1:30" hidden="1" x14ac:dyDescent="0.35">
      <c r="A60" s="2">
        <v>45877</v>
      </c>
      <c r="B60" t="s">
        <v>34</v>
      </c>
      <c r="C60">
        <v>1.17390000820159</v>
      </c>
      <c r="D60">
        <v>1.17394995689392</v>
      </c>
      <c r="E60">
        <v>1.17344999313354</v>
      </c>
      <c r="F60">
        <v>1.17344999313354</v>
      </c>
      <c r="G60">
        <v>11</v>
      </c>
      <c r="H60">
        <v>1.17436001300811</v>
      </c>
      <c r="I60">
        <v>-4.9998760223379703E-4</v>
      </c>
      <c r="J60" t="str">
        <f t="shared" si="4"/>
        <v>DOWN</v>
      </c>
      <c r="K60">
        <v>1.1731560039520199</v>
      </c>
      <c r="L60">
        <v>1.4600038528445001E-4</v>
      </c>
      <c r="M60" t="str">
        <f t="shared" si="5"/>
        <v>UP</v>
      </c>
      <c r="N60">
        <v>1.20400905609141E-3</v>
      </c>
      <c r="O60" t="str">
        <f t="shared" si="6"/>
        <v>UP</v>
      </c>
      <c r="P60">
        <v>48.338868147439001</v>
      </c>
      <c r="Q60">
        <v>2.03688778308674</v>
      </c>
      <c r="R60" t="str">
        <f t="shared" si="7"/>
        <v>UP</v>
      </c>
      <c r="S60">
        <v>1.17334997653961</v>
      </c>
      <c r="T60" t="str">
        <f t="shared" si="0"/>
        <v>UP</v>
      </c>
      <c r="U60">
        <v>1.17474997043609</v>
      </c>
      <c r="V60" t="str">
        <f t="shared" si="1"/>
        <v>DOWN</v>
      </c>
      <c r="W60">
        <v>1.17420005798339</v>
      </c>
      <c r="X60" t="str">
        <f t="shared" si="2"/>
        <v>DOWN</v>
      </c>
      <c r="Y60">
        <v>1.17490005493164</v>
      </c>
      <c r="Z60" t="str">
        <f t="shared" si="3"/>
        <v>DOWN</v>
      </c>
      <c r="AA60">
        <v>0</v>
      </c>
      <c r="AB60">
        <v>0</v>
      </c>
      <c r="AC60">
        <v>0</v>
      </c>
      <c r="AD60">
        <v>0</v>
      </c>
    </row>
    <row r="61" spans="1:30" hidden="1" x14ac:dyDescent="0.35">
      <c r="A61" s="2">
        <v>45877</v>
      </c>
      <c r="B61" t="s">
        <v>35</v>
      </c>
      <c r="C61">
        <v>1.17474997043609</v>
      </c>
      <c r="D61">
        <v>1.1748000383377</v>
      </c>
      <c r="E61">
        <v>1.17474997043609</v>
      </c>
      <c r="F61">
        <v>1.1748000383377</v>
      </c>
      <c r="G61">
        <v>6</v>
      </c>
      <c r="H61">
        <v>1.1743499994277899</v>
      </c>
      <c r="I61" s="1">
        <v>-1.00135803222656E-5</v>
      </c>
      <c r="J61" t="str">
        <f t="shared" si="4"/>
        <v>DOWN</v>
      </c>
      <c r="K61">
        <v>1.17331200361251</v>
      </c>
      <c r="L61">
        <v>1.55999660492067E-4</v>
      </c>
      <c r="M61" t="str">
        <f t="shared" si="5"/>
        <v>UP</v>
      </c>
      <c r="N61">
        <v>1.0379958152770799E-3</v>
      </c>
      <c r="O61" t="str">
        <f t="shared" si="6"/>
        <v>UP</v>
      </c>
      <c r="P61">
        <v>52.039293622445001</v>
      </c>
      <c r="Q61">
        <v>3.7004254750059702</v>
      </c>
      <c r="R61" t="str">
        <f t="shared" si="7"/>
        <v>UP</v>
      </c>
      <c r="S61">
        <v>1.17344999313354</v>
      </c>
      <c r="T61" t="str">
        <f t="shared" si="0"/>
        <v>UP</v>
      </c>
      <c r="U61">
        <v>1.17334997653961</v>
      </c>
      <c r="V61" t="str">
        <f t="shared" si="1"/>
        <v>UP</v>
      </c>
      <c r="W61">
        <v>1.17394995689392</v>
      </c>
      <c r="X61" t="str">
        <f t="shared" si="2"/>
        <v>UP</v>
      </c>
      <c r="Y61">
        <v>1.17420005798339</v>
      </c>
      <c r="Z61" t="str">
        <f t="shared" si="3"/>
        <v>UP</v>
      </c>
      <c r="AA61">
        <v>0</v>
      </c>
      <c r="AB61">
        <v>0</v>
      </c>
      <c r="AC61">
        <v>0</v>
      </c>
      <c r="AD61">
        <v>0</v>
      </c>
    </row>
    <row r="62" spans="1:30" hidden="1" x14ac:dyDescent="0.35">
      <c r="A62" s="2">
        <v>45877</v>
      </c>
      <c r="B62" t="s">
        <v>36</v>
      </c>
      <c r="C62">
        <v>1.1727999448776201</v>
      </c>
      <c r="D62">
        <v>1.1753000020980799</v>
      </c>
      <c r="E62">
        <v>1.1727999448776201</v>
      </c>
      <c r="F62">
        <v>1.1753000020980799</v>
      </c>
      <c r="G62">
        <v>15</v>
      </c>
      <c r="H62">
        <v>1.17392997741699</v>
      </c>
      <c r="I62">
        <v>-4.2002201080326701E-4</v>
      </c>
      <c r="J62" t="str">
        <f t="shared" si="4"/>
        <v>DOWN</v>
      </c>
      <c r="K62">
        <v>1.1734440016746499</v>
      </c>
      <c r="L62">
        <v>1.3199806213370899E-4</v>
      </c>
      <c r="M62" t="str">
        <f t="shared" si="5"/>
        <v>UP</v>
      </c>
      <c r="N62">
        <v>4.85975742340105E-4</v>
      </c>
      <c r="O62" t="str">
        <f t="shared" si="6"/>
        <v>UP</v>
      </c>
      <c r="P62">
        <v>44.214424549705299</v>
      </c>
      <c r="Q62">
        <v>-7.8248690727397303</v>
      </c>
      <c r="R62" t="str">
        <f t="shared" si="7"/>
        <v>DOWN</v>
      </c>
      <c r="S62">
        <v>1.17474997043609</v>
      </c>
      <c r="T62" t="str">
        <f t="shared" si="0"/>
        <v>DOWN</v>
      </c>
      <c r="U62">
        <v>1.17344999313354</v>
      </c>
      <c r="V62" t="str">
        <f t="shared" si="1"/>
        <v>DOWN</v>
      </c>
      <c r="W62">
        <v>1.1748000383377</v>
      </c>
      <c r="X62" t="str">
        <f t="shared" si="2"/>
        <v>UP</v>
      </c>
      <c r="Y62">
        <v>1.17394995689392</v>
      </c>
      <c r="Z62" t="str">
        <f t="shared" si="3"/>
        <v>UP</v>
      </c>
      <c r="AA62">
        <v>0</v>
      </c>
      <c r="AB62">
        <v>0</v>
      </c>
      <c r="AC62">
        <v>0</v>
      </c>
      <c r="AD62">
        <v>0</v>
      </c>
    </row>
    <row r="63" spans="1:30" hidden="1" x14ac:dyDescent="0.35">
      <c r="A63" s="2">
        <v>45877</v>
      </c>
      <c r="B63" t="s">
        <v>37</v>
      </c>
      <c r="C63">
        <v>1.1730500459671001</v>
      </c>
      <c r="D63">
        <v>1.17344999313354</v>
      </c>
      <c r="E63">
        <v>1.1724499464035001</v>
      </c>
      <c r="F63">
        <v>1.17344999313354</v>
      </c>
      <c r="G63">
        <v>12</v>
      </c>
      <c r="H63">
        <v>1.1735899925231901</v>
      </c>
      <c r="I63">
        <v>-3.3998489379882802E-4</v>
      </c>
      <c r="J63" t="str">
        <f t="shared" si="4"/>
        <v>DOWN</v>
      </c>
      <c r="K63">
        <v>1.1735810017585699</v>
      </c>
      <c r="L63">
        <v>1.37000083923366E-4</v>
      </c>
      <c r="M63" t="str">
        <f t="shared" si="5"/>
        <v>UP</v>
      </c>
      <c r="N63" s="1">
        <v>8.9907646179110401E-6</v>
      </c>
      <c r="O63" t="str">
        <f t="shared" si="6"/>
        <v>UP</v>
      </c>
      <c r="P63">
        <v>45.349436142230303</v>
      </c>
      <c r="Q63">
        <v>1.13501159252497</v>
      </c>
      <c r="R63" t="str">
        <f t="shared" si="7"/>
        <v>UP</v>
      </c>
      <c r="S63">
        <v>1.1727999448776201</v>
      </c>
      <c r="T63" t="str">
        <f t="shared" si="0"/>
        <v>DOWN</v>
      </c>
      <c r="U63">
        <v>1.17474997043609</v>
      </c>
      <c r="V63" t="str">
        <f t="shared" si="1"/>
        <v>DOWN</v>
      </c>
      <c r="W63">
        <v>1.1753000020980799</v>
      </c>
      <c r="X63" t="str">
        <f t="shared" si="2"/>
        <v>DOWN</v>
      </c>
      <c r="Y63">
        <v>1.1748000383377</v>
      </c>
      <c r="Z63" t="str">
        <f t="shared" si="3"/>
        <v>DOWN</v>
      </c>
      <c r="AA63">
        <v>0</v>
      </c>
      <c r="AB63">
        <v>1</v>
      </c>
      <c r="AC63">
        <v>0</v>
      </c>
      <c r="AD63">
        <v>0</v>
      </c>
    </row>
    <row r="64" spans="1:30" hidden="1" x14ac:dyDescent="0.35">
      <c r="A64" s="2">
        <v>45877</v>
      </c>
      <c r="B64" t="s">
        <v>20</v>
      </c>
      <c r="C64">
        <v>1.1726499795913601</v>
      </c>
      <c r="D64">
        <v>1.17349994182586</v>
      </c>
      <c r="E64">
        <v>1.1726000308990401</v>
      </c>
      <c r="F64">
        <v>1.17349994182586</v>
      </c>
      <c r="G64">
        <v>73</v>
      </c>
      <c r="H64">
        <v>1.17342998981475</v>
      </c>
      <c r="I64">
        <v>-1.6000270843519101E-4</v>
      </c>
      <c r="J64" t="str">
        <f t="shared" si="4"/>
        <v>DOWN</v>
      </c>
      <c r="K64">
        <v>1.1736920022964401</v>
      </c>
      <c r="L64">
        <v>1.11000537872163E-4</v>
      </c>
      <c r="M64" t="str">
        <f t="shared" si="5"/>
        <v>UP</v>
      </c>
      <c r="N64">
        <v>-2.6201248168944403E-4</v>
      </c>
      <c r="O64" t="str">
        <f t="shared" si="6"/>
        <v>DOWN</v>
      </c>
      <c r="P64">
        <v>43.813792730156301</v>
      </c>
      <c r="Q64">
        <v>-1.53564341207391</v>
      </c>
      <c r="R64" t="str">
        <f t="shared" si="7"/>
        <v>DOWN</v>
      </c>
      <c r="S64">
        <v>1.1724499464035001</v>
      </c>
      <c r="T64" t="str">
        <f t="shared" si="0"/>
        <v>UP</v>
      </c>
      <c r="U64">
        <v>1.1727999448776201</v>
      </c>
      <c r="V64" t="str">
        <f t="shared" si="1"/>
        <v>DOWN</v>
      </c>
      <c r="W64">
        <v>1.17344999313354</v>
      </c>
      <c r="X64" t="str">
        <f t="shared" si="2"/>
        <v>UP</v>
      </c>
      <c r="Y64">
        <v>1.1753000020980799</v>
      </c>
      <c r="Z64" t="str">
        <f t="shared" si="3"/>
        <v>DOWN</v>
      </c>
      <c r="AA64">
        <v>0</v>
      </c>
      <c r="AB64">
        <v>0</v>
      </c>
      <c r="AC64">
        <v>0</v>
      </c>
      <c r="AD64">
        <v>0</v>
      </c>
    </row>
    <row r="65" spans="1:30" hidden="1" x14ac:dyDescent="0.35">
      <c r="A65" s="2">
        <v>45877</v>
      </c>
      <c r="B65" t="s">
        <v>21</v>
      </c>
      <c r="C65">
        <v>1.17330002784729</v>
      </c>
      <c r="D65">
        <v>1.17330002784729</v>
      </c>
      <c r="E65">
        <v>1.17330002784729</v>
      </c>
      <c r="F65">
        <v>1.17330002784729</v>
      </c>
      <c r="G65">
        <v>2</v>
      </c>
      <c r="H65">
        <v>1.17330999374389</v>
      </c>
      <c r="I65">
        <v>-1.19996070861772E-4</v>
      </c>
      <c r="J65" t="str">
        <f t="shared" si="4"/>
        <v>DOWN</v>
      </c>
      <c r="K65">
        <v>1.17380000352859</v>
      </c>
      <c r="L65">
        <v>1.0800123214727001E-4</v>
      </c>
      <c r="M65" t="str">
        <f t="shared" si="5"/>
        <v>UP</v>
      </c>
      <c r="N65">
        <v>-4.90009784698486E-4</v>
      </c>
      <c r="O65" t="str">
        <f t="shared" si="6"/>
        <v>DOWN</v>
      </c>
      <c r="P65">
        <v>46.956807167836502</v>
      </c>
      <c r="Q65">
        <v>3.1430144376801099</v>
      </c>
      <c r="R65" t="str">
        <f t="shared" si="7"/>
        <v>UP</v>
      </c>
      <c r="S65">
        <v>1.1726000308990401</v>
      </c>
      <c r="T65" t="str">
        <f t="shared" si="0"/>
        <v>UP</v>
      </c>
      <c r="U65">
        <v>1.1724499464035001</v>
      </c>
      <c r="V65" t="str">
        <f t="shared" si="1"/>
        <v>UP</v>
      </c>
      <c r="W65">
        <v>1.17349994182586</v>
      </c>
      <c r="X65" t="str">
        <f t="shared" si="2"/>
        <v>DOWN</v>
      </c>
      <c r="Y65">
        <v>1.17344999313354</v>
      </c>
      <c r="Z65" t="str">
        <f t="shared" si="3"/>
        <v>DOWN</v>
      </c>
      <c r="AA65">
        <v>0</v>
      </c>
      <c r="AB65">
        <v>0</v>
      </c>
      <c r="AC65">
        <v>0</v>
      </c>
      <c r="AD65">
        <v>0</v>
      </c>
    </row>
    <row r="66" spans="1:30" hidden="1" x14ac:dyDescent="0.35">
      <c r="A66" s="2">
        <v>45877</v>
      </c>
      <c r="B66" t="s">
        <v>22</v>
      </c>
      <c r="C66">
        <v>1.17429995536804</v>
      </c>
      <c r="D66">
        <v>1.17429995536804</v>
      </c>
      <c r="E66">
        <v>1.17365002632141</v>
      </c>
      <c r="F66">
        <v>1.17365002632141</v>
      </c>
      <c r="G66">
        <v>6</v>
      </c>
      <c r="H66">
        <v>1.17321999073028</v>
      </c>
      <c r="I66" s="1">
        <v>-9.0003013610839803E-5</v>
      </c>
      <c r="J66" t="str">
        <f t="shared" si="4"/>
        <v>DOWN</v>
      </c>
      <c r="K66">
        <v>1.1739340019225999</v>
      </c>
      <c r="L66">
        <v>1.3399839401251299E-4</v>
      </c>
      <c r="M66" t="str">
        <f t="shared" si="5"/>
        <v>UP</v>
      </c>
      <c r="N66">
        <v>-7.1401119232183897E-4</v>
      </c>
      <c r="O66" t="str">
        <f t="shared" si="6"/>
        <v>DOWN</v>
      </c>
      <c r="P66">
        <v>51.455291043915501</v>
      </c>
      <c r="Q66">
        <v>4.4984838760790504</v>
      </c>
      <c r="R66" t="str">
        <f t="shared" si="7"/>
        <v>UP</v>
      </c>
      <c r="S66">
        <v>1.17330002784729</v>
      </c>
      <c r="T66" t="str">
        <f t="shared" ref="T66:T129" si="8">IF((E66-S66)&lt;0,"DOWN","UP")</f>
        <v>UP</v>
      </c>
      <c r="U66">
        <v>1.1726000308990401</v>
      </c>
      <c r="V66" t="str">
        <f t="shared" si="1"/>
        <v>UP</v>
      </c>
      <c r="W66">
        <v>1.17330002784729</v>
      </c>
      <c r="X66" t="str">
        <f t="shared" ref="X66:X129" si="9">IF((D66-W66)&gt;0,"UP","DOWN")</f>
        <v>UP</v>
      </c>
      <c r="Y66">
        <v>1.17349994182586</v>
      </c>
      <c r="Z66" t="str">
        <f t="shared" ref="Z66:Z129" si="10">IF((D66-Y66)&gt;0,"UP","DOWN")</f>
        <v>UP</v>
      </c>
      <c r="AA66">
        <v>0</v>
      </c>
      <c r="AB66">
        <v>0</v>
      </c>
      <c r="AC66">
        <v>0</v>
      </c>
      <c r="AD66">
        <v>0</v>
      </c>
    </row>
    <row r="67" spans="1:30" hidden="1" x14ac:dyDescent="0.35">
      <c r="A67" s="2">
        <v>45877</v>
      </c>
      <c r="B67" t="s">
        <v>23</v>
      </c>
      <c r="C67">
        <v>1.17414999008178</v>
      </c>
      <c r="D67">
        <v>1.17414999008178</v>
      </c>
      <c r="E67">
        <v>1.17414999008178</v>
      </c>
      <c r="F67">
        <v>1.17414999008178</v>
      </c>
      <c r="G67">
        <v>2</v>
      </c>
      <c r="H67">
        <v>1.1734899997711099</v>
      </c>
      <c r="I67">
        <v>2.7000904083251899E-4</v>
      </c>
      <c r="J67" t="str">
        <f t="shared" ref="J67:J130" si="11">IF(I67&gt;0,"UP","DOWN")</f>
        <v>UP</v>
      </c>
      <c r="K67">
        <v>1.1740740013122499</v>
      </c>
      <c r="L67">
        <v>1.3999938964848099E-4</v>
      </c>
      <c r="M67" t="str">
        <f t="shared" ref="M67:M130" si="12">IF(L67&gt;0,"UP","DOWN")</f>
        <v>UP</v>
      </c>
      <c r="N67">
        <v>-5.8400154113780103E-4</v>
      </c>
      <c r="O67" t="str">
        <f t="shared" ref="O67:O130" si="13">IF(N67&gt;0,"UP","DOWN")</f>
        <v>DOWN</v>
      </c>
      <c r="P67">
        <v>50.760002540608298</v>
      </c>
      <c r="Q67">
        <v>-0.69528850330722403</v>
      </c>
      <c r="R67" t="str">
        <f t="shared" ref="R67:R130" si="14">IF(Q67&gt;0,"UP","DOWN")</f>
        <v>DOWN</v>
      </c>
      <c r="S67">
        <v>1.17365002632141</v>
      </c>
      <c r="T67" t="str">
        <f t="shared" si="8"/>
        <v>UP</v>
      </c>
      <c r="U67">
        <v>1.17330002784729</v>
      </c>
      <c r="V67" t="str">
        <f t="shared" ref="V67:V130" si="15">IF((E67-U67)&lt;0,"DOWN","UP")</f>
        <v>UP</v>
      </c>
      <c r="W67">
        <v>1.17429995536804</v>
      </c>
      <c r="X67" t="str">
        <f t="shared" si="9"/>
        <v>DOWN</v>
      </c>
      <c r="Y67">
        <v>1.17330002784729</v>
      </c>
      <c r="Z67" t="str">
        <f t="shared" si="10"/>
        <v>UP</v>
      </c>
      <c r="AA67">
        <v>0</v>
      </c>
      <c r="AB67">
        <v>0</v>
      </c>
      <c r="AC67">
        <v>0</v>
      </c>
      <c r="AD67">
        <v>0</v>
      </c>
    </row>
    <row r="68" spans="1:30" hidden="1" x14ac:dyDescent="0.35">
      <c r="A68" s="2">
        <v>45877</v>
      </c>
      <c r="B68" t="s">
        <v>24</v>
      </c>
      <c r="C68">
        <v>1.17414999008178</v>
      </c>
      <c r="D68">
        <v>1.17505002021789</v>
      </c>
      <c r="E68">
        <v>1.17414999008178</v>
      </c>
      <c r="F68">
        <v>1.17470002174377</v>
      </c>
      <c r="G68">
        <v>15</v>
      </c>
      <c r="H68">
        <v>1.1737099885940501</v>
      </c>
      <c r="I68">
        <v>2.1998882293705599E-4</v>
      </c>
      <c r="J68" t="str">
        <f t="shared" si="11"/>
        <v>UP</v>
      </c>
      <c r="K68">
        <v>1.17421700000762</v>
      </c>
      <c r="L68">
        <v>1.4299869537337501E-4</v>
      </c>
      <c r="M68" t="str">
        <f t="shared" si="12"/>
        <v>UP</v>
      </c>
      <c r="N68">
        <v>-5.0701141357412105E-4</v>
      </c>
      <c r="O68" t="str">
        <f t="shared" si="13"/>
        <v>DOWN</v>
      </c>
      <c r="P68">
        <v>50.760002540608298</v>
      </c>
      <c r="Q68">
        <v>0</v>
      </c>
      <c r="R68" t="str">
        <f t="shared" si="14"/>
        <v>DOWN</v>
      </c>
      <c r="S68">
        <v>1.17414999008178</v>
      </c>
      <c r="T68" t="str">
        <f t="shared" si="8"/>
        <v>UP</v>
      </c>
      <c r="U68">
        <v>1.17365002632141</v>
      </c>
      <c r="V68" t="str">
        <f t="shared" si="15"/>
        <v>UP</v>
      </c>
      <c r="W68">
        <v>1.17414999008178</v>
      </c>
      <c r="X68" t="str">
        <f t="shared" si="9"/>
        <v>UP</v>
      </c>
      <c r="Y68">
        <v>1.17429995536804</v>
      </c>
      <c r="Z68" t="str">
        <f t="shared" si="10"/>
        <v>UP</v>
      </c>
      <c r="AA68">
        <v>0</v>
      </c>
      <c r="AB68">
        <v>0</v>
      </c>
      <c r="AC68">
        <v>0</v>
      </c>
      <c r="AD68">
        <v>0</v>
      </c>
    </row>
    <row r="69" spans="1:30" hidden="1" x14ac:dyDescent="0.35">
      <c r="A69" s="2">
        <v>45877</v>
      </c>
      <c r="B69" t="s">
        <v>25</v>
      </c>
      <c r="C69">
        <v>1.17515003681182</v>
      </c>
      <c r="D69">
        <v>1.1757999658584499</v>
      </c>
      <c r="E69">
        <v>1.17515003681182</v>
      </c>
      <c r="F69">
        <v>1.1755499839782699</v>
      </c>
      <c r="G69">
        <v>205</v>
      </c>
      <c r="H69">
        <v>1.1742100000381399</v>
      </c>
      <c r="I69">
        <v>5.0001144409184096E-4</v>
      </c>
      <c r="J69" t="str">
        <f t="shared" si="11"/>
        <v>UP</v>
      </c>
      <c r="K69">
        <v>1.17436000108718</v>
      </c>
      <c r="L69">
        <v>1.43001079559335E-4</v>
      </c>
      <c r="M69" t="str">
        <f t="shared" si="12"/>
        <v>UP</v>
      </c>
      <c r="N69">
        <v>-1.5000104904161401E-4</v>
      </c>
      <c r="O69" t="str">
        <f t="shared" si="13"/>
        <v>DOWN</v>
      </c>
      <c r="P69">
        <v>55.418915127818202</v>
      </c>
      <c r="Q69">
        <v>4.6589125872098798</v>
      </c>
      <c r="R69" t="str">
        <f t="shared" si="14"/>
        <v>UP</v>
      </c>
      <c r="S69">
        <v>1.17414999008178</v>
      </c>
      <c r="T69" t="str">
        <f t="shared" si="8"/>
        <v>UP</v>
      </c>
      <c r="U69">
        <v>1.17414999008178</v>
      </c>
      <c r="V69" t="str">
        <f t="shared" si="15"/>
        <v>UP</v>
      </c>
      <c r="W69">
        <v>1.17505002021789</v>
      </c>
      <c r="X69" t="str">
        <f t="shared" si="9"/>
        <v>UP</v>
      </c>
      <c r="Y69">
        <v>1.17414999008178</v>
      </c>
      <c r="Z69" t="str">
        <f t="shared" si="10"/>
        <v>UP</v>
      </c>
      <c r="AA69">
        <v>0</v>
      </c>
      <c r="AB69">
        <v>0</v>
      </c>
      <c r="AC69">
        <v>0</v>
      </c>
      <c r="AD69">
        <v>0</v>
      </c>
    </row>
    <row r="70" spans="1:30" hidden="1" x14ac:dyDescent="0.35">
      <c r="A70" s="2">
        <v>45877</v>
      </c>
      <c r="B70" t="s">
        <v>26</v>
      </c>
      <c r="C70">
        <v>1.17460000514984</v>
      </c>
      <c r="D70">
        <v>1.1753499507903999</v>
      </c>
      <c r="E70">
        <v>1.17460000514984</v>
      </c>
      <c r="F70">
        <v>1.1753499507903999</v>
      </c>
      <c r="G70">
        <v>0</v>
      </c>
      <c r="H70">
        <v>1.1744699954986499</v>
      </c>
      <c r="I70">
        <v>2.5999546051025298E-4</v>
      </c>
      <c r="J70" t="str">
        <f t="shared" si="11"/>
        <v>UP</v>
      </c>
      <c r="K70">
        <v>1.1744470000267</v>
      </c>
      <c r="L70" s="1">
        <v>8.6998939514248906E-5</v>
      </c>
      <c r="M70" t="str">
        <f t="shared" si="12"/>
        <v>UP</v>
      </c>
      <c r="N70" s="1">
        <v>2.2995471954390098E-5</v>
      </c>
      <c r="O70" t="str">
        <f t="shared" si="13"/>
        <v>UP</v>
      </c>
      <c r="P70">
        <v>52.477914052463703</v>
      </c>
      <c r="Q70">
        <v>-2.9410010753544298</v>
      </c>
      <c r="R70" t="str">
        <f t="shared" si="14"/>
        <v>DOWN</v>
      </c>
      <c r="S70">
        <v>1.17515003681182</v>
      </c>
      <c r="T70" t="str">
        <f t="shared" si="8"/>
        <v>DOWN</v>
      </c>
      <c r="U70">
        <v>1.17414999008178</v>
      </c>
      <c r="V70" t="str">
        <f t="shared" si="15"/>
        <v>UP</v>
      </c>
      <c r="W70">
        <v>1.1757999658584499</v>
      </c>
      <c r="X70" t="str">
        <f t="shared" si="9"/>
        <v>DOWN</v>
      </c>
      <c r="Y70">
        <v>1.17505002021789</v>
      </c>
      <c r="Z70" t="str">
        <f t="shared" si="10"/>
        <v>UP</v>
      </c>
      <c r="AA70">
        <v>0</v>
      </c>
      <c r="AB70">
        <v>0</v>
      </c>
      <c r="AC70">
        <v>0</v>
      </c>
      <c r="AD70">
        <v>0</v>
      </c>
    </row>
    <row r="71" spans="1:30" hidden="1" x14ac:dyDescent="0.35">
      <c r="A71" s="2">
        <v>45877</v>
      </c>
      <c r="B71" t="s">
        <v>38</v>
      </c>
      <c r="C71">
        <v>1.17460000514984</v>
      </c>
      <c r="D71">
        <v>1.17515003681182</v>
      </c>
      <c r="E71">
        <v>1.17460000514984</v>
      </c>
      <c r="F71">
        <v>1.17515003681182</v>
      </c>
      <c r="G71">
        <v>0</v>
      </c>
      <c r="H71">
        <v>1.1745300054550101</v>
      </c>
      <c r="I71" s="1">
        <v>6.0009956359907602E-5</v>
      </c>
      <c r="J71" t="str">
        <f t="shared" si="11"/>
        <v>UP</v>
      </c>
      <c r="K71">
        <v>1.1745300006866399</v>
      </c>
      <c r="L71" s="1">
        <v>8.3000659942600294E-5</v>
      </c>
      <c r="M71" t="str">
        <f t="shared" si="12"/>
        <v>UP</v>
      </c>
      <c r="N71" s="1">
        <v>4.7683716974944396E-9</v>
      </c>
      <c r="O71" t="str">
        <f t="shared" si="13"/>
        <v>UP</v>
      </c>
      <c r="P71">
        <v>52.477914052463703</v>
      </c>
      <c r="Q71">
        <v>0</v>
      </c>
      <c r="R71" t="str">
        <f t="shared" si="14"/>
        <v>DOWN</v>
      </c>
      <c r="S71">
        <v>1.17460000514984</v>
      </c>
      <c r="T71" t="str">
        <f t="shared" si="8"/>
        <v>UP</v>
      </c>
      <c r="U71">
        <v>1.17515003681182</v>
      </c>
      <c r="V71" t="str">
        <f t="shared" si="15"/>
        <v>DOWN</v>
      </c>
      <c r="W71">
        <v>1.1753499507903999</v>
      </c>
      <c r="X71" t="str">
        <f t="shared" si="9"/>
        <v>DOWN</v>
      </c>
      <c r="Y71">
        <v>1.1757999658584499</v>
      </c>
      <c r="Z71" t="str">
        <f t="shared" si="10"/>
        <v>DOWN</v>
      </c>
      <c r="AA71">
        <v>0</v>
      </c>
      <c r="AB71">
        <v>0</v>
      </c>
      <c r="AC71">
        <v>0</v>
      </c>
      <c r="AD71">
        <v>0</v>
      </c>
    </row>
    <row r="72" spans="1:30" hidden="1" x14ac:dyDescent="0.35">
      <c r="A72" s="2">
        <v>45877</v>
      </c>
      <c r="B72" t="s">
        <v>28</v>
      </c>
      <c r="C72">
        <v>1.17340004444122</v>
      </c>
      <c r="D72">
        <v>1.17439997196197</v>
      </c>
      <c r="E72">
        <v>1.17340004444122</v>
      </c>
      <c r="F72">
        <v>1.17439997196197</v>
      </c>
      <c r="G72">
        <v>435</v>
      </c>
      <c r="H72">
        <v>1.1743800163269</v>
      </c>
      <c r="I72">
        <v>-1.4998912811292601E-4</v>
      </c>
      <c r="J72" t="str">
        <f t="shared" si="11"/>
        <v>DOWN</v>
      </c>
      <c r="K72">
        <v>1.1745580005645699</v>
      </c>
      <c r="L72" s="1">
        <v>2.79998779297852E-5</v>
      </c>
      <c r="M72" t="str">
        <f t="shared" si="12"/>
        <v>UP</v>
      </c>
      <c r="N72">
        <v>-1.7798423767101301E-4</v>
      </c>
      <c r="O72" t="str">
        <f t="shared" si="13"/>
        <v>DOWN</v>
      </c>
      <c r="P72">
        <v>46.265717758215402</v>
      </c>
      <c r="Q72">
        <v>-6.2121962942482902</v>
      </c>
      <c r="R72" t="str">
        <f t="shared" si="14"/>
        <v>DOWN</v>
      </c>
      <c r="S72">
        <v>1.17460000514984</v>
      </c>
      <c r="T72" t="str">
        <f t="shared" si="8"/>
        <v>DOWN</v>
      </c>
      <c r="U72">
        <v>1.17460000514984</v>
      </c>
      <c r="V72" t="str">
        <f t="shared" si="15"/>
        <v>DOWN</v>
      </c>
      <c r="W72">
        <v>1.17515003681182</v>
      </c>
      <c r="X72" t="str">
        <f t="shared" si="9"/>
        <v>DOWN</v>
      </c>
      <c r="Y72">
        <v>1.1753499507903999</v>
      </c>
      <c r="Z72" t="str">
        <f t="shared" si="10"/>
        <v>DOWN</v>
      </c>
      <c r="AA72">
        <v>0</v>
      </c>
      <c r="AB72">
        <v>0</v>
      </c>
      <c r="AC72">
        <v>0</v>
      </c>
      <c r="AD72">
        <v>0</v>
      </c>
    </row>
    <row r="73" spans="1:30" hidden="1" x14ac:dyDescent="0.35">
      <c r="A73" s="2">
        <v>45877</v>
      </c>
      <c r="B73" t="s">
        <v>39</v>
      </c>
      <c r="C73">
        <v>1.1748000383377</v>
      </c>
      <c r="D73">
        <v>1.1748000383377</v>
      </c>
      <c r="E73">
        <v>1.1732000112533501</v>
      </c>
      <c r="F73">
        <v>1.17344999313354</v>
      </c>
      <c r="G73">
        <v>5</v>
      </c>
      <c r="H73">
        <v>1.1745100259780801</v>
      </c>
      <c r="I73">
        <v>1.30009651184037E-4</v>
      </c>
      <c r="J73" t="str">
        <f t="shared" si="11"/>
        <v>UP</v>
      </c>
      <c r="K73">
        <v>1.1745940017700101</v>
      </c>
      <c r="L73" s="1">
        <v>3.6001205444335897E-5</v>
      </c>
      <c r="M73" t="str">
        <f t="shared" si="12"/>
        <v>UP</v>
      </c>
      <c r="N73" s="1">
        <v>-8.3975791931312202E-5</v>
      </c>
      <c r="O73" t="str">
        <f t="shared" si="13"/>
        <v>DOWN</v>
      </c>
      <c r="P73">
        <v>53.223071811042999</v>
      </c>
      <c r="Q73">
        <v>6.9573540528275197</v>
      </c>
      <c r="R73" t="str">
        <f t="shared" si="14"/>
        <v>UP</v>
      </c>
      <c r="S73">
        <v>1.17340004444122</v>
      </c>
      <c r="T73" t="str">
        <f t="shared" si="8"/>
        <v>DOWN</v>
      </c>
      <c r="U73">
        <v>1.17460000514984</v>
      </c>
      <c r="V73" t="str">
        <f t="shared" si="15"/>
        <v>DOWN</v>
      </c>
      <c r="W73">
        <v>1.17439997196197</v>
      </c>
      <c r="X73" t="str">
        <f t="shared" si="9"/>
        <v>UP</v>
      </c>
      <c r="Y73">
        <v>1.17515003681182</v>
      </c>
      <c r="Z73" t="str">
        <f t="shared" si="10"/>
        <v>DOWN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s="2">
        <v>45879</v>
      </c>
      <c r="B74" t="s">
        <v>40</v>
      </c>
      <c r="C74">
        <v>1.17390000820159</v>
      </c>
      <c r="D74">
        <v>1.17390000820159</v>
      </c>
      <c r="E74">
        <v>1.17390000820159</v>
      </c>
      <c r="F74">
        <v>1.17390000820159</v>
      </c>
      <c r="G74">
        <v>0</v>
      </c>
      <c r="H74">
        <v>1.17426002025604</v>
      </c>
      <c r="I74">
        <v>-2.5000572204580902E-4</v>
      </c>
      <c r="J74" t="str">
        <f t="shared" si="11"/>
        <v>DOWN</v>
      </c>
      <c r="K74">
        <v>1.1746210026741</v>
      </c>
      <c r="L74" s="1">
        <v>2.7000904083251899E-5</v>
      </c>
      <c r="M74" t="str">
        <f t="shared" si="12"/>
        <v>UP</v>
      </c>
      <c r="N74">
        <v>-3.6098241806037298E-4</v>
      </c>
      <c r="O74" t="str">
        <f t="shared" si="13"/>
        <v>DOWN</v>
      </c>
      <c r="P74">
        <v>48.844579233809803</v>
      </c>
      <c r="Q74">
        <v>-4.37849257723318</v>
      </c>
      <c r="R74" t="str">
        <f t="shared" si="14"/>
        <v>DOWN</v>
      </c>
      <c r="S74">
        <v>1.1732000112533501</v>
      </c>
      <c r="T74" t="str">
        <f t="shared" si="8"/>
        <v>UP</v>
      </c>
      <c r="U74">
        <v>1.17340004444122</v>
      </c>
      <c r="V74" t="str">
        <f t="shared" si="15"/>
        <v>UP</v>
      </c>
      <c r="W74">
        <v>1.1748000383377</v>
      </c>
      <c r="X74" t="str">
        <f t="shared" si="9"/>
        <v>DOWN</v>
      </c>
      <c r="Y74">
        <v>1.17439997196197</v>
      </c>
      <c r="Z74" t="str">
        <f t="shared" si="10"/>
        <v>DOWN</v>
      </c>
      <c r="AA74">
        <v>1</v>
      </c>
      <c r="AB74">
        <v>1</v>
      </c>
      <c r="AC74">
        <v>0</v>
      </c>
      <c r="AD74">
        <v>0</v>
      </c>
    </row>
    <row r="75" spans="1:30" hidden="1" x14ac:dyDescent="0.35">
      <c r="A75" s="2">
        <v>45880</v>
      </c>
      <c r="B75" t="s">
        <v>30</v>
      </c>
      <c r="C75">
        <v>1.17455005645751</v>
      </c>
      <c r="D75">
        <v>1.17455005645751</v>
      </c>
      <c r="E75">
        <v>1.17390000820159</v>
      </c>
      <c r="F75">
        <v>1.17390000820159</v>
      </c>
      <c r="G75">
        <v>30</v>
      </c>
      <c r="H75">
        <v>1.17425003051757</v>
      </c>
      <c r="I75" s="1">
        <v>-9.9897384644442798E-6</v>
      </c>
      <c r="J75" t="str">
        <f t="shared" si="11"/>
        <v>DOWN</v>
      </c>
      <c r="K75">
        <v>1.1746330046653699</v>
      </c>
      <c r="L75" s="1">
        <v>1.20019912719371E-5</v>
      </c>
      <c r="M75" t="str">
        <f t="shared" si="12"/>
        <v>UP</v>
      </c>
      <c r="N75">
        <v>-3.8297414779675499E-4</v>
      </c>
      <c r="O75" t="str">
        <f t="shared" si="13"/>
        <v>DOWN</v>
      </c>
      <c r="P75">
        <v>51.921050616090099</v>
      </c>
      <c r="Q75">
        <v>3.07647138228032</v>
      </c>
      <c r="R75" t="str">
        <f t="shared" si="14"/>
        <v>UP</v>
      </c>
      <c r="S75">
        <v>1.17390000820159</v>
      </c>
      <c r="T75" t="str">
        <f t="shared" si="8"/>
        <v>UP</v>
      </c>
      <c r="U75">
        <v>1.1732000112533501</v>
      </c>
      <c r="V75" t="str">
        <f t="shared" si="15"/>
        <v>UP</v>
      </c>
      <c r="W75">
        <v>1.17390000820159</v>
      </c>
      <c r="X75" t="str">
        <f t="shared" si="9"/>
        <v>UP</v>
      </c>
      <c r="Y75">
        <v>1.1748000383377</v>
      </c>
      <c r="Z75" t="str">
        <f t="shared" si="10"/>
        <v>DOWN</v>
      </c>
      <c r="AA75">
        <v>0</v>
      </c>
      <c r="AB75">
        <v>0</v>
      </c>
      <c r="AC75">
        <v>0</v>
      </c>
      <c r="AD75">
        <v>0</v>
      </c>
    </row>
    <row r="76" spans="1:30" hidden="1" x14ac:dyDescent="0.35">
      <c r="A76" s="2">
        <v>45880</v>
      </c>
      <c r="B76" t="s">
        <v>32</v>
      </c>
      <c r="C76">
        <v>1.1762000322341899</v>
      </c>
      <c r="D76">
        <v>1.1762000322341899</v>
      </c>
      <c r="E76">
        <v>1.1762000322341899</v>
      </c>
      <c r="F76">
        <v>1.1762000322341899</v>
      </c>
      <c r="G76">
        <v>1</v>
      </c>
      <c r="H76">
        <v>1.17457003593444</v>
      </c>
      <c r="I76">
        <v>3.20005416870161E-4</v>
      </c>
      <c r="J76" t="str">
        <f t="shared" si="11"/>
        <v>UP</v>
      </c>
      <c r="K76">
        <v>1.1746770048141399</v>
      </c>
      <c r="L76" s="1">
        <v>4.4000148773148903E-5</v>
      </c>
      <c r="M76" t="str">
        <f t="shared" si="12"/>
        <v>UP</v>
      </c>
      <c r="N76">
        <v>-1.06968879699742E-4</v>
      </c>
      <c r="O76" t="str">
        <f t="shared" si="13"/>
        <v>DOWN</v>
      </c>
      <c r="P76">
        <v>58.708928567422603</v>
      </c>
      <c r="Q76">
        <v>6.7878779513325096</v>
      </c>
      <c r="R76" t="str">
        <f t="shared" si="14"/>
        <v>UP</v>
      </c>
      <c r="S76">
        <v>1.17390000820159</v>
      </c>
      <c r="T76" t="str">
        <f t="shared" si="8"/>
        <v>UP</v>
      </c>
      <c r="U76">
        <v>1.17390000820159</v>
      </c>
      <c r="V76" t="str">
        <f t="shared" si="15"/>
        <v>UP</v>
      </c>
      <c r="W76">
        <v>1.17455005645751</v>
      </c>
      <c r="X76" t="str">
        <f t="shared" si="9"/>
        <v>UP</v>
      </c>
      <c r="Y76">
        <v>1.17390000820159</v>
      </c>
      <c r="Z76" t="str">
        <f t="shared" si="10"/>
        <v>UP</v>
      </c>
      <c r="AA76">
        <v>0</v>
      </c>
      <c r="AB76">
        <v>0</v>
      </c>
      <c r="AC76">
        <v>0</v>
      </c>
      <c r="AD76">
        <v>0</v>
      </c>
    </row>
    <row r="77" spans="1:30" hidden="1" x14ac:dyDescent="0.35">
      <c r="A77" s="2">
        <v>45880</v>
      </c>
      <c r="B77" t="s">
        <v>41</v>
      </c>
      <c r="C77">
        <v>1.1761000156402499</v>
      </c>
      <c r="D77">
        <v>1.1761000156402499</v>
      </c>
      <c r="E77">
        <v>1.1761000156402499</v>
      </c>
      <c r="F77">
        <v>1.1761000156402499</v>
      </c>
      <c r="G77">
        <v>3</v>
      </c>
      <c r="H77">
        <v>1.1751100301742501</v>
      </c>
      <c r="I77">
        <v>5.3999423980721697E-4</v>
      </c>
      <c r="J77" t="str">
        <f t="shared" si="11"/>
        <v>UP</v>
      </c>
      <c r="K77">
        <v>1.17470900535583</v>
      </c>
      <c r="L77" s="1">
        <v>3.2000541686949499E-5</v>
      </c>
      <c r="M77" t="str">
        <f t="shared" si="12"/>
        <v>UP</v>
      </c>
      <c r="N77">
        <v>4.0102481842052502E-4</v>
      </c>
      <c r="O77" t="str">
        <f t="shared" si="13"/>
        <v>UP</v>
      </c>
      <c r="P77">
        <v>58.172788684668198</v>
      </c>
      <c r="Q77">
        <v>-0.536139882754469</v>
      </c>
      <c r="R77" t="str">
        <f t="shared" si="14"/>
        <v>DOWN</v>
      </c>
      <c r="S77">
        <v>1.1762000322341899</v>
      </c>
      <c r="T77" t="str">
        <f t="shared" si="8"/>
        <v>DOWN</v>
      </c>
      <c r="U77">
        <v>1.17390000820159</v>
      </c>
      <c r="V77" t="str">
        <f t="shared" si="15"/>
        <v>UP</v>
      </c>
      <c r="W77">
        <v>1.1762000322341899</v>
      </c>
      <c r="X77" t="str">
        <f t="shared" si="9"/>
        <v>DOWN</v>
      </c>
      <c r="Y77">
        <v>1.17455005645751</v>
      </c>
      <c r="Z77" t="str">
        <f t="shared" si="10"/>
        <v>UP</v>
      </c>
      <c r="AA77">
        <v>0</v>
      </c>
      <c r="AB77">
        <v>0</v>
      </c>
      <c r="AC77">
        <v>0</v>
      </c>
      <c r="AD77">
        <v>0</v>
      </c>
    </row>
    <row r="78" spans="1:30" hidden="1" x14ac:dyDescent="0.35">
      <c r="A78" s="2">
        <v>45880</v>
      </c>
      <c r="B78" t="s">
        <v>34</v>
      </c>
      <c r="C78">
        <v>1.1756500005721999</v>
      </c>
      <c r="D78">
        <v>1.1762499809265099</v>
      </c>
      <c r="E78">
        <v>1.1756500005721999</v>
      </c>
      <c r="F78">
        <v>1.1762499809265099</v>
      </c>
      <c r="G78">
        <v>7</v>
      </c>
      <c r="H78">
        <v>1.1752800226211499</v>
      </c>
      <c r="I78">
        <v>1.6999244689941401E-4</v>
      </c>
      <c r="J78" t="str">
        <f t="shared" si="11"/>
        <v>UP</v>
      </c>
      <c r="K78">
        <v>1.1747100043296801</v>
      </c>
      <c r="L78" s="1">
        <v>9.9897384653324608E-7</v>
      </c>
      <c r="M78" t="str">
        <f t="shared" si="12"/>
        <v>UP</v>
      </c>
      <c r="N78">
        <v>5.70018291473406E-4</v>
      </c>
      <c r="O78" t="str">
        <f t="shared" si="13"/>
        <v>UP</v>
      </c>
      <c r="P78">
        <v>55.707720008816302</v>
      </c>
      <c r="Q78">
        <v>-2.4650686758518101</v>
      </c>
      <c r="R78" t="str">
        <f t="shared" si="14"/>
        <v>DOWN</v>
      </c>
      <c r="S78">
        <v>1.1761000156402499</v>
      </c>
      <c r="T78" t="str">
        <f t="shared" si="8"/>
        <v>DOWN</v>
      </c>
      <c r="U78">
        <v>1.1762000322341899</v>
      </c>
      <c r="V78" t="str">
        <f t="shared" si="15"/>
        <v>DOWN</v>
      </c>
      <c r="W78">
        <v>1.1761000156402499</v>
      </c>
      <c r="X78" t="str">
        <f t="shared" si="9"/>
        <v>UP</v>
      </c>
      <c r="Y78">
        <v>1.1762000322341899</v>
      </c>
      <c r="Z78" t="str">
        <f t="shared" si="10"/>
        <v>UP</v>
      </c>
      <c r="AA78">
        <v>1</v>
      </c>
      <c r="AB78">
        <v>0</v>
      </c>
      <c r="AC78">
        <v>0</v>
      </c>
      <c r="AD78">
        <v>0</v>
      </c>
    </row>
    <row r="79" spans="1:30" hidden="1" x14ac:dyDescent="0.35">
      <c r="A79" s="2">
        <v>45880</v>
      </c>
      <c r="B79" t="s">
        <v>35</v>
      </c>
      <c r="C79">
        <v>1.17420005798339</v>
      </c>
      <c r="D79">
        <v>1.1754000186920099</v>
      </c>
      <c r="E79">
        <v>1.17420005798339</v>
      </c>
      <c r="F79">
        <v>1.1754000186920099</v>
      </c>
      <c r="G79">
        <v>7</v>
      </c>
      <c r="H79">
        <v>1.1753400325775101</v>
      </c>
      <c r="I79" s="1">
        <v>6.0009956359907602E-5</v>
      </c>
      <c r="J79" t="str">
        <f t="shared" si="11"/>
        <v>UP</v>
      </c>
      <c r="K79">
        <v>1.1746920061111401</v>
      </c>
      <c r="L79" s="1">
        <v>-1.79982185364302E-5</v>
      </c>
      <c r="M79" t="str">
        <f t="shared" si="12"/>
        <v>DOWN</v>
      </c>
      <c r="N79">
        <v>6.4802646636974404E-4</v>
      </c>
      <c r="O79" t="str">
        <f t="shared" si="13"/>
        <v>UP</v>
      </c>
      <c r="P79">
        <v>48.566758502675903</v>
      </c>
      <c r="Q79">
        <v>-7.1409615061404699</v>
      </c>
      <c r="R79" t="str">
        <f t="shared" si="14"/>
        <v>DOWN</v>
      </c>
      <c r="S79">
        <v>1.1756500005721999</v>
      </c>
      <c r="T79" t="str">
        <f t="shared" si="8"/>
        <v>DOWN</v>
      </c>
      <c r="U79">
        <v>1.1761000156402499</v>
      </c>
      <c r="V79" t="str">
        <f t="shared" si="15"/>
        <v>DOWN</v>
      </c>
      <c r="W79">
        <v>1.1762499809265099</v>
      </c>
      <c r="X79" t="str">
        <f t="shared" si="9"/>
        <v>DOWN</v>
      </c>
      <c r="Y79">
        <v>1.1761000156402499</v>
      </c>
      <c r="Z79" t="str">
        <f t="shared" si="10"/>
        <v>DOWN</v>
      </c>
      <c r="AA79">
        <v>0</v>
      </c>
      <c r="AB79">
        <v>0</v>
      </c>
      <c r="AC79">
        <v>0</v>
      </c>
      <c r="AD79">
        <v>0</v>
      </c>
    </row>
    <row r="80" spans="1:30" hidden="1" x14ac:dyDescent="0.35">
      <c r="A80" s="2">
        <v>45880</v>
      </c>
      <c r="B80" t="s">
        <v>37</v>
      </c>
      <c r="C80">
        <v>1.1730500459671001</v>
      </c>
      <c r="D80">
        <v>1.17365002632141</v>
      </c>
      <c r="E80">
        <v>1.1730500459671001</v>
      </c>
      <c r="F80">
        <v>1.17365002632141</v>
      </c>
      <c r="G80">
        <v>27</v>
      </c>
      <c r="H80">
        <v>1.17504003047943</v>
      </c>
      <c r="I80">
        <v>-3.0000209808367302E-4</v>
      </c>
      <c r="J80" t="str">
        <f t="shared" si="11"/>
        <v>DOWN</v>
      </c>
      <c r="K80">
        <v>1.17466300725936</v>
      </c>
      <c r="L80" s="1">
        <v>-2.8998851776096402E-5</v>
      </c>
      <c r="M80" t="str">
        <f t="shared" si="12"/>
        <v>DOWN</v>
      </c>
      <c r="N80">
        <v>3.7702322006216699E-4</v>
      </c>
      <c r="O80" t="str">
        <f t="shared" si="13"/>
        <v>UP</v>
      </c>
      <c r="P80">
        <v>43.773917936651003</v>
      </c>
      <c r="Q80">
        <v>-4.7928405660248901</v>
      </c>
      <c r="R80" t="str">
        <f t="shared" si="14"/>
        <v>DOWN</v>
      </c>
      <c r="S80">
        <v>1.17420005798339</v>
      </c>
      <c r="T80" t="str">
        <f t="shared" si="8"/>
        <v>DOWN</v>
      </c>
      <c r="U80">
        <v>1.1756500005721999</v>
      </c>
      <c r="V80" t="str">
        <f t="shared" si="15"/>
        <v>DOWN</v>
      </c>
      <c r="W80">
        <v>1.1754000186920099</v>
      </c>
      <c r="X80" t="str">
        <f t="shared" si="9"/>
        <v>DOWN</v>
      </c>
      <c r="Y80">
        <v>1.1762499809265099</v>
      </c>
      <c r="Z80" t="str">
        <f t="shared" si="10"/>
        <v>DOWN</v>
      </c>
      <c r="AA80">
        <v>0</v>
      </c>
      <c r="AB80">
        <v>0</v>
      </c>
      <c r="AC80">
        <v>0</v>
      </c>
      <c r="AD80">
        <v>0</v>
      </c>
    </row>
    <row r="81" spans="1:30" hidden="1" x14ac:dyDescent="0.35">
      <c r="A81" s="2">
        <v>45880</v>
      </c>
      <c r="B81" t="s">
        <v>21</v>
      </c>
      <c r="C81">
        <v>1.1719000339507999</v>
      </c>
      <c r="D81">
        <v>1.17344999313354</v>
      </c>
      <c r="E81">
        <v>1.1715999841689999</v>
      </c>
      <c r="F81">
        <v>1.17344999313354</v>
      </c>
      <c r="G81">
        <v>36</v>
      </c>
      <c r="H81">
        <v>1.1741800308227499</v>
      </c>
      <c r="I81">
        <v>-8.5999965667715695E-4</v>
      </c>
      <c r="J81" t="str">
        <f t="shared" si="11"/>
        <v>DOWN</v>
      </c>
      <c r="K81">
        <v>1.1745890069007801</v>
      </c>
      <c r="L81" s="1">
        <v>-7.4000358581516296E-5</v>
      </c>
      <c r="M81" t="str">
        <f t="shared" si="12"/>
        <v>DOWN</v>
      </c>
      <c r="N81">
        <v>-4.0897607803347299E-4</v>
      </c>
      <c r="O81" t="str">
        <f t="shared" si="13"/>
        <v>DOWN</v>
      </c>
      <c r="P81">
        <v>39.568684057496903</v>
      </c>
      <c r="Q81">
        <v>-4.2052338791540702</v>
      </c>
      <c r="R81" t="str">
        <f t="shared" si="14"/>
        <v>DOWN</v>
      </c>
      <c r="S81">
        <v>1.1730500459671001</v>
      </c>
      <c r="T81" t="str">
        <f t="shared" si="8"/>
        <v>DOWN</v>
      </c>
      <c r="U81">
        <v>1.17420005798339</v>
      </c>
      <c r="V81" t="str">
        <f t="shared" si="15"/>
        <v>DOWN</v>
      </c>
      <c r="W81">
        <v>1.17365002632141</v>
      </c>
      <c r="X81" t="str">
        <f t="shared" si="9"/>
        <v>DOWN</v>
      </c>
      <c r="Y81">
        <v>1.1754000186920099</v>
      </c>
      <c r="Z81" t="str">
        <f t="shared" si="10"/>
        <v>DOWN</v>
      </c>
      <c r="AA81">
        <v>0</v>
      </c>
      <c r="AB81">
        <v>0</v>
      </c>
      <c r="AC81">
        <v>0</v>
      </c>
      <c r="AD81">
        <v>0</v>
      </c>
    </row>
    <row r="82" spans="1:30" hidden="1" x14ac:dyDescent="0.35">
      <c r="A82" s="2">
        <v>45880</v>
      </c>
      <c r="B82" t="s">
        <v>22</v>
      </c>
      <c r="C82">
        <v>1.1711499691009499</v>
      </c>
      <c r="D82">
        <v>1.1712000370025599</v>
      </c>
      <c r="E82">
        <v>1.17065000534057</v>
      </c>
      <c r="F82">
        <v>1.17069995403289</v>
      </c>
      <c r="G82">
        <v>58</v>
      </c>
      <c r="H82">
        <v>1.17319002151489</v>
      </c>
      <c r="I82">
        <v>-9.9000930786141694E-4</v>
      </c>
      <c r="J82" t="str">
        <f t="shared" si="11"/>
        <v>DOWN</v>
      </c>
      <c r="K82">
        <v>1.1745240068435601</v>
      </c>
      <c r="L82" s="1">
        <v>-6.5000057220432298E-5</v>
      </c>
      <c r="M82" t="str">
        <f t="shared" si="12"/>
        <v>DOWN</v>
      </c>
      <c r="N82">
        <v>-1.3339853286744501E-3</v>
      </c>
      <c r="O82" t="str">
        <f t="shared" si="13"/>
        <v>DOWN</v>
      </c>
      <c r="P82">
        <v>37.067481125511797</v>
      </c>
      <c r="Q82">
        <v>-2.50120293198504</v>
      </c>
      <c r="R82" t="str">
        <f t="shared" si="14"/>
        <v>DOWN</v>
      </c>
      <c r="S82">
        <v>1.1715999841689999</v>
      </c>
      <c r="T82" t="str">
        <f t="shared" si="8"/>
        <v>DOWN</v>
      </c>
      <c r="U82">
        <v>1.1730500459671001</v>
      </c>
      <c r="V82" t="str">
        <f t="shared" si="15"/>
        <v>DOWN</v>
      </c>
      <c r="W82">
        <v>1.17344999313354</v>
      </c>
      <c r="X82" t="str">
        <f t="shared" si="9"/>
        <v>DOWN</v>
      </c>
      <c r="Y82">
        <v>1.17365002632141</v>
      </c>
      <c r="Z82" t="str">
        <f t="shared" si="10"/>
        <v>DOWN</v>
      </c>
      <c r="AA82">
        <v>0</v>
      </c>
      <c r="AB82">
        <v>0</v>
      </c>
      <c r="AC82">
        <v>0</v>
      </c>
      <c r="AD82">
        <v>0</v>
      </c>
    </row>
    <row r="83" spans="1:30" hidden="1" x14ac:dyDescent="0.35">
      <c r="A83" s="2">
        <v>45880</v>
      </c>
      <c r="B83" t="s">
        <v>23</v>
      </c>
      <c r="C83">
        <v>1.1710000038146899</v>
      </c>
      <c r="D83">
        <v>1.1713999509811399</v>
      </c>
      <c r="E83">
        <v>1.1708500385284399</v>
      </c>
      <c r="F83">
        <v>1.1713000535964899</v>
      </c>
      <c r="G83">
        <v>17</v>
      </c>
      <c r="H83">
        <v>1.1722600221633901</v>
      </c>
      <c r="I83">
        <v>-9.2999935150128699E-4</v>
      </c>
      <c r="J83" t="str">
        <f t="shared" si="11"/>
        <v>DOWN</v>
      </c>
      <c r="K83">
        <v>1.1744430065155</v>
      </c>
      <c r="L83" s="1">
        <v>-8.1000328064018094E-5</v>
      </c>
      <c r="M83" t="str">
        <f t="shared" si="12"/>
        <v>DOWN</v>
      </c>
      <c r="N83">
        <v>-2.1829843521117202E-3</v>
      </c>
      <c r="O83" t="str">
        <f t="shared" si="13"/>
        <v>DOWN</v>
      </c>
      <c r="P83">
        <v>36.569748729312501</v>
      </c>
      <c r="Q83">
        <v>-0.49773239619930998</v>
      </c>
      <c r="R83" t="str">
        <f t="shared" si="14"/>
        <v>DOWN</v>
      </c>
      <c r="S83">
        <v>1.17065000534057</v>
      </c>
      <c r="T83" t="str">
        <f t="shared" si="8"/>
        <v>UP</v>
      </c>
      <c r="U83">
        <v>1.1715999841689999</v>
      </c>
      <c r="V83" t="str">
        <f t="shared" si="15"/>
        <v>DOWN</v>
      </c>
      <c r="W83">
        <v>1.1712000370025599</v>
      </c>
      <c r="X83" t="str">
        <f t="shared" si="9"/>
        <v>UP</v>
      </c>
      <c r="Y83">
        <v>1.17344999313354</v>
      </c>
      <c r="Z83" t="str">
        <f t="shared" si="10"/>
        <v>DOWN</v>
      </c>
      <c r="AA83">
        <v>0</v>
      </c>
      <c r="AB83">
        <v>0</v>
      </c>
      <c r="AC83">
        <v>0</v>
      </c>
      <c r="AD83">
        <v>0</v>
      </c>
    </row>
    <row r="84" spans="1:30" hidden="1" x14ac:dyDescent="0.35">
      <c r="A84" s="2">
        <v>45880</v>
      </c>
      <c r="B84" t="s">
        <v>24</v>
      </c>
      <c r="C84">
        <v>1.1685500144958401</v>
      </c>
      <c r="D84">
        <v>1.16989994049072</v>
      </c>
      <c r="E84">
        <v>1.1682000160217201</v>
      </c>
      <c r="F84">
        <v>1.16960000991821</v>
      </c>
      <c r="G84">
        <v>62</v>
      </c>
      <c r="H84">
        <v>1.17113001346588</v>
      </c>
      <c r="I84">
        <v>-1.13000869750989E-3</v>
      </c>
      <c r="J84" t="str">
        <f t="shared" si="11"/>
        <v>DOWN</v>
      </c>
      <c r="K84">
        <v>1.1743170070648099</v>
      </c>
      <c r="L84">
        <v>-1.2599945068370001E-4</v>
      </c>
      <c r="M84" t="str">
        <f t="shared" si="12"/>
        <v>DOWN</v>
      </c>
      <c r="N84">
        <v>-3.18699359893792E-3</v>
      </c>
      <c r="O84" t="str">
        <f t="shared" si="13"/>
        <v>DOWN</v>
      </c>
      <c r="P84">
        <v>29.581333324138299</v>
      </c>
      <c r="Q84">
        <v>-6.9884154051742602</v>
      </c>
      <c r="R84" t="str">
        <f t="shared" si="14"/>
        <v>DOWN</v>
      </c>
      <c r="S84">
        <v>1.1708500385284399</v>
      </c>
      <c r="T84" t="str">
        <f t="shared" si="8"/>
        <v>DOWN</v>
      </c>
      <c r="U84">
        <v>1.17065000534057</v>
      </c>
      <c r="V84" t="str">
        <f t="shared" si="15"/>
        <v>DOWN</v>
      </c>
      <c r="W84">
        <v>1.1713999509811399</v>
      </c>
      <c r="X84" t="str">
        <f t="shared" si="9"/>
        <v>DOWN</v>
      </c>
      <c r="Y84">
        <v>1.1712000370025599</v>
      </c>
      <c r="Z84" t="str">
        <f t="shared" si="10"/>
        <v>DOWN</v>
      </c>
      <c r="AA84">
        <v>0</v>
      </c>
      <c r="AB84">
        <v>1</v>
      </c>
      <c r="AC84">
        <v>0</v>
      </c>
      <c r="AD84">
        <v>0</v>
      </c>
    </row>
    <row r="85" spans="1:30" hidden="1" x14ac:dyDescent="0.35">
      <c r="A85" s="2">
        <v>45880</v>
      </c>
      <c r="B85" t="s">
        <v>25</v>
      </c>
      <c r="C85">
        <v>1.16970002651214</v>
      </c>
      <c r="D85">
        <v>1.16974997520446</v>
      </c>
      <c r="E85">
        <v>1.1682000160217201</v>
      </c>
      <c r="F85">
        <v>1.1682000160217201</v>
      </c>
      <c r="G85">
        <v>69</v>
      </c>
      <c r="H85">
        <v>1.17046000957489</v>
      </c>
      <c r="I85">
        <v>-6.7000389099125502E-4</v>
      </c>
      <c r="J85" t="str">
        <f t="shared" si="11"/>
        <v>DOWN</v>
      </c>
      <c r="K85">
        <v>1.1742210078239399</v>
      </c>
      <c r="L85" s="1">
        <v>-9.59992408751109E-5</v>
      </c>
      <c r="M85" t="str">
        <f t="shared" si="12"/>
        <v>DOWN</v>
      </c>
      <c r="N85">
        <v>-3.7609982490540701E-3</v>
      </c>
      <c r="O85" t="str">
        <f t="shared" si="13"/>
        <v>DOWN</v>
      </c>
      <c r="P85">
        <v>35.784578471195097</v>
      </c>
      <c r="Q85">
        <v>6.2032451470568697</v>
      </c>
      <c r="R85" t="str">
        <f t="shared" si="14"/>
        <v>UP</v>
      </c>
      <c r="S85">
        <v>1.1682000160217201</v>
      </c>
      <c r="T85" t="str">
        <f t="shared" si="8"/>
        <v>UP</v>
      </c>
      <c r="U85">
        <v>1.1708500385284399</v>
      </c>
      <c r="V85" t="str">
        <f t="shared" si="15"/>
        <v>DOWN</v>
      </c>
      <c r="W85">
        <v>1.16989994049072</v>
      </c>
      <c r="X85" t="str">
        <f t="shared" si="9"/>
        <v>DOWN</v>
      </c>
      <c r="Y85">
        <v>1.1713999509811399</v>
      </c>
      <c r="Z85" t="str">
        <f t="shared" si="10"/>
        <v>DOWN</v>
      </c>
      <c r="AA85">
        <v>0</v>
      </c>
      <c r="AB85">
        <v>1</v>
      </c>
      <c r="AC85">
        <v>0</v>
      </c>
      <c r="AD85">
        <v>0</v>
      </c>
    </row>
    <row r="86" spans="1:30" hidden="1" x14ac:dyDescent="0.35">
      <c r="A86" s="2">
        <v>45880</v>
      </c>
      <c r="B86" t="s">
        <v>26</v>
      </c>
      <c r="C86">
        <v>1.1698499917984</v>
      </c>
      <c r="D86">
        <v>1.17030000686645</v>
      </c>
      <c r="E86">
        <v>1.16970002651214</v>
      </c>
      <c r="F86">
        <v>1.16974997520446</v>
      </c>
      <c r="G86">
        <v>226</v>
      </c>
      <c r="H86">
        <v>1.1700500011443999</v>
      </c>
      <c r="I86">
        <v>-4.1000843048077902E-4</v>
      </c>
      <c r="J86" t="str">
        <f t="shared" si="11"/>
        <v>DOWN</v>
      </c>
      <c r="K86">
        <v>1.17409500837326</v>
      </c>
      <c r="L86">
        <v>-1.2599945068370001E-4</v>
      </c>
      <c r="M86" t="str">
        <f t="shared" si="12"/>
        <v>DOWN</v>
      </c>
      <c r="N86">
        <v>-4.0450072288511496E-3</v>
      </c>
      <c r="O86" t="str">
        <f t="shared" si="13"/>
        <v>DOWN</v>
      </c>
      <c r="P86">
        <v>36.569278813130097</v>
      </c>
      <c r="Q86">
        <v>0.78470034193494298</v>
      </c>
      <c r="R86" t="str">
        <f t="shared" si="14"/>
        <v>UP</v>
      </c>
      <c r="S86">
        <v>1.1682000160217201</v>
      </c>
      <c r="T86" t="str">
        <f t="shared" si="8"/>
        <v>UP</v>
      </c>
      <c r="U86">
        <v>1.1682000160217201</v>
      </c>
      <c r="V86" t="str">
        <f t="shared" si="15"/>
        <v>UP</v>
      </c>
      <c r="W86">
        <v>1.16974997520446</v>
      </c>
      <c r="X86" t="str">
        <f t="shared" si="9"/>
        <v>UP</v>
      </c>
      <c r="Y86">
        <v>1.16989994049072</v>
      </c>
      <c r="Z86" t="str">
        <f t="shared" si="10"/>
        <v>UP</v>
      </c>
      <c r="AA86">
        <v>0</v>
      </c>
      <c r="AB86">
        <v>0</v>
      </c>
      <c r="AC86">
        <v>0</v>
      </c>
      <c r="AD86">
        <v>0</v>
      </c>
    </row>
    <row r="87" spans="1:30" hidden="1" x14ac:dyDescent="0.35">
      <c r="A87" s="2">
        <v>45880</v>
      </c>
      <c r="B87" t="s">
        <v>27</v>
      </c>
      <c r="C87">
        <v>1.17019999027252</v>
      </c>
      <c r="D87">
        <v>1.17019999027252</v>
      </c>
      <c r="E87">
        <v>1.16949999332427</v>
      </c>
      <c r="F87">
        <v>1.16949999332427</v>
      </c>
      <c r="G87">
        <v>6</v>
      </c>
      <c r="H87">
        <v>1.16986000537872</v>
      </c>
      <c r="I87">
        <v>-1.89995765686123E-4</v>
      </c>
      <c r="J87" t="str">
        <f t="shared" si="11"/>
        <v>DOWN</v>
      </c>
      <c r="K87">
        <v>1.1739790081977799</v>
      </c>
      <c r="L87">
        <v>-1.1600017547608301E-4</v>
      </c>
      <c r="M87" t="str">
        <f t="shared" si="12"/>
        <v>DOWN</v>
      </c>
      <c r="N87">
        <v>-4.1190028190611896E-3</v>
      </c>
      <c r="O87" t="str">
        <f t="shared" si="13"/>
        <v>DOWN</v>
      </c>
      <c r="P87">
        <v>38.459385954071102</v>
      </c>
      <c r="Q87">
        <v>1.8901071409410199</v>
      </c>
      <c r="R87" t="str">
        <f t="shared" si="14"/>
        <v>UP</v>
      </c>
      <c r="S87">
        <v>1.16970002651214</v>
      </c>
      <c r="T87" t="str">
        <f t="shared" si="8"/>
        <v>DOWN</v>
      </c>
      <c r="U87">
        <v>1.1682000160217201</v>
      </c>
      <c r="V87" t="str">
        <f t="shared" si="15"/>
        <v>UP</v>
      </c>
      <c r="W87">
        <v>1.17030000686645</v>
      </c>
      <c r="X87" t="str">
        <f t="shared" si="9"/>
        <v>DOWN</v>
      </c>
      <c r="Y87">
        <v>1.16974997520446</v>
      </c>
      <c r="Z87" t="str">
        <f t="shared" si="10"/>
        <v>UP</v>
      </c>
      <c r="AA87">
        <v>0</v>
      </c>
      <c r="AB87">
        <v>0</v>
      </c>
      <c r="AC87">
        <v>0</v>
      </c>
      <c r="AD87">
        <v>0</v>
      </c>
    </row>
    <row r="88" spans="1:30" hidden="1" x14ac:dyDescent="0.35">
      <c r="A88" s="2">
        <v>45880</v>
      </c>
      <c r="B88" t="s">
        <v>28</v>
      </c>
      <c r="C88">
        <v>1.16949999332427</v>
      </c>
      <c r="D88">
        <v>1.1695499420166</v>
      </c>
      <c r="E88">
        <v>1.16949999332427</v>
      </c>
      <c r="F88">
        <v>1.1695499420166</v>
      </c>
      <c r="G88">
        <v>8</v>
      </c>
      <c r="H88">
        <v>1.1695600032806299</v>
      </c>
      <c r="I88">
        <v>-3.0000209808345098E-4</v>
      </c>
      <c r="J88" t="str">
        <f t="shared" si="11"/>
        <v>DOWN</v>
      </c>
      <c r="K88">
        <v>1.1738360071182199</v>
      </c>
      <c r="L88">
        <v>-1.43001079559335E-4</v>
      </c>
      <c r="M88" t="str">
        <f t="shared" si="12"/>
        <v>DOWN</v>
      </c>
      <c r="N88">
        <v>-4.2760038375853002E-3</v>
      </c>
      <c r="O88" t="str">
        <f t="shared" si="13"/>
        <v>DOWN</v>
      </c>
      <c r="P88">
        <v>36.139916801033699</v>
      </c>
      <c r="Q88">
        <v>-2.3194691530373599</v>
      </c>
      <c r="R88" t="str">
        <f t="shared" si="14"/>
        <v>DOWN</v>
      </c>
      <c r="S88">
        <v>1.16949999332427</v>
      </c>
      <c r="T88" t="str">
        <f t="shared" si="8"/>
        <v>UP</v>
      </c>
      <c r="U88">
        <v>1.16970002651214</v>
      </c>
      <c r="V88" t="str">
        <f t="shared" si="15"/>
        <v>DOWN</v>
      </c>
      <c r="W88">
        <v>1.17019999027252</v>
      </c>
      <c r="X88" t="str">
        <f t="shared" si="9"/>
        <v>DOWN</v>
      </c>
      <c r="Y88">
        <v>1.17030000686645</v>
      </c>
      <c r="Z88" t="str">
        <f t="shared" si="10"/>
        <v>DOWN</v>
      </c>
      <c r="AA88">
        <v>0</v>
      </c>
      <c r="AB88">
        <v>0</v>
      </c>
      <c r="AC88">
        <v>0</v>
      </c>
      <c r="AD88">
        <v>0</v>
      </c>
    </row>
    <row r="89" spans="1:30" hidden="1" x14ac:dyDescent="0.35">
      <c r="A89" s="2">
        <v>45880</v>
      </c>
      <c r="B89" t="s">
        <v>39</v>
      </c>
      <c r="C89">
        <v>1.1710000038146899</v>
      </c>
      <c r="D89">
        <v>1.1710000038146899</v>
      </c>
      <c r="E89">
        <v>1.17069995403289</v>
      </c>
      <c r="F89">
        <v>1.17069995403289</v>
      </c>
      <c r="G89">
        <v>103</v>
      </c>
      <c r="H89">
        <v>1.1700500011443999</v>
      </c>
      <c r="I89">
        <v>4.8999786376957501E-4</v>
      </c>
      <c r="J89" t="str">
        <f t="shared" si="11"/>
        <v>UP</v>
      </c>
      <c r="K89">
        <v>1.1736930060386599</v>
      </c>
      <c r="L89">
        <v>-1.43001079559335E-4</v>
      </c>
      <c r="M89" t="str">
        <f t="shared" si="12"/>
        <v>DOWN</v>
      </c>
      <c r="N89">
        <v>-3.6430048942563899E-3</v>
      </c>
      <c r="O89" t="str">
        <f t="shared" si="13"/>
        <v>DOWN</v>
      </c>
      <c r="P89">
        <v>43.941938659108402</v>
      </c>
      <c r="Q89">
        <v>7.8020218580746796</v>
      </c>
      <c r="R89" t="str">
        <f t="shared" si="14"/>
        <v>UP</v>
      </c>
      <c r="S89">
        <v>1.16949999332427</v>
      </c>
      <c r="T89" t="str">
        <f t="shared" si="8"/>
        <v>UP</v>
      </c>
      <c r="U89">
        <v>1.16949999332427</v>
      </c>
      <c r="V89" t="str">
        <f t="shared" si="15"/>
        <v>UP</v>
      </c>
      <c r="W89">
        <v>1.1695499420166</v>
      </c>
      <c r="X89" t="str">
        <f t="shared" si="9"/>
        <v>UP</v>
      </c>
      <c r="Y89">
        <v>1.17019999027252</v>
      </c>
      <c r="Z89" t="str">
        <f t="shared" si="10"/>
        <v>UP</v>
      </c>
      <c r="AA89">
        <v>0</v>
      </c>
      <c r="AB89">
        <v>0</v>
      </c>
      <c r="AC89">
        <v>0</v>
      </c>
      <c r="AD89">
        <v>0</v>
      </c>
    </row>
    <row r="90" spans="1:30" hidden="1" x14ac:dyDescent="0.35">
      <c r="A90" s="2">
        <v>45880</v>
      </c>
      <c r="B90" t="s">
        <v>42</v>
      </c>
      <c r="C90">
        <v>1.17060005664825</v>
      </c>
      <c r="D90">
        <v>1.17060005664825</v>
      </c>
      <c r="E90">
        <v>1.17060005664825</v>
      </c>
      <c r="F90">
        <v>1.17060005664825</v>
      </c>
      <c r="G90">
        <v>0</v>
      </c>
      <c r="H90">
        <v>1.1702300071716301</v>
      </c>
      <c r="I90">
        <v>1.8000602722167901E-4</v>
      </c>
      <c r="J90" t="str">
        <f t="shared" si="11"/>
        <v>UP</v>
      </c>
      <c r="K90">
        <v>1.1735570073127699</v>
      </c>
      <c r="L90">
        <v>-1.35998725891095E-4</v>
      </c>
      <c r="M90" t="str">
        <f t="shared" si="12"/>
        <v>DOWN</v>
      </c>
      <c r="N90">
        <v>-3.3270001411436199E-3</v>
      </c>
      <c r="O90" t="str">
        <f t="shared" si="13"/>
        <v>DOWN</v>
      </c>
      <c r="P90">
        <v>42.452661208670101</v>
      </c>
      <c r="Q90">
        <v>-1.4892774504383499</v>
      </c>
      <c r="R90" t="str">
        <f t="shared" si="14"/>
        <v>DOWN</v>
      </c>
      <c r="S90">
        <v>1.17069995403289</v>
      </c>
      <c r="T90" t="str">
        <f t="shared" si="8"/>
        <v>DOWN</v>
      </c>
      <c r="U90">
        <v>1.16949999332427</v>
      </c>
      <c r="V90" t="str">
        <f t="shared" si="15"/>
        <v>UP</v>
      </c>
      <c r="W90">
        <v>1.1710000038146899</v>
      </c>
      <c r="X90" t="str">
        <f t="shared" si="9"/>
        <v>DOWN</v>
      </c>
      <c r="Y90">
        <v>1.1695499420166</v>
      </c>
      <c r="Z90" t="str">
        <f t="shared" si="10"/>
        <v>UP</v>
      </c>
      <c r="AA90">
        <v>0</v>
      </c>
      <c r="AB90">
        <v>0</v>
      </c>
      <c r="AC90">
        <v>0</v>
      </c>
      <c r="AD90">
        <v>0</v>
      </c>
    </row>
    <row r="91" spans="1:30" hidden="1" x14ac:dyDescent="0.35">
      <c r="A91" s="2">
        <v>45881</v>
      </c>
      <c r="B91" t="s">
        <v>29</v>
      </c>
      <c r="C91">
        <v>1.1707999706268299</v>
      </c>
      <c r="D91">
        <v>1.1707999706268299</v>
      </c>
      <c r="E91">
        <v>1.17060005664825</v>
      </c>
      <c r="F91">
        <v>1.17060005664825</v>
      </c>
      <c r="G91">
        <v>4</v>
      </c>
      <c r="H91">
        <v>1.17042000293731</v>
      </c>
      <c r="I91">
        <v>1.8999576568590101E-4</v>
      </c>
      <c r="J91" t="str">
        <f t="shared" si="11"/>
        <v>UP</v>
      </c>
      <c r="K91">
        <v>1.1734450078010501</v>
      </c>
      <c r="L91">
        <v>-1.11999511718696E-4</v>
      </c>
      <c r="M91" t="str">
        <f t="shared" si="12"/>
        <v>DOWN</v>
      </c>
      <c r="N91">
        <v>-3.02500486373902E-3</v>
      </c>
      <c r="O91" t="str">
        <f t="shared" si="13"/>
        <v>DOWN</v>
      </c>
      <c r="P91">
        <v>43.483747420133497</v>
      </c>
      <c r="Q91">
        <v>1.03108621146346</v>
      </c>
      <c r="R91" t="str">
        <f t="shared" si="14"/>
        <v>UP</v>
      </c>
      <c r="S91">
        <v>1.17060005664825</v>
      </c>
      <c r="T91" t="str">
        <f t="shared" si="8"/>
        <v>UP</v>
      </c>
      <c r="U91">
        <v>1.17069995403289</v>
      </c>
      <c r="V91" t="str">
        <f t="shared" si="15"/>
        <v>DOWN</v>
      </c>
      <c r="W91">
        <v>1.17060005664825</v>
      </c>
      <c r="X91" t="str">
        <f t="shared" si="9"/>
        <v>UP</v>
      </c>
      <c r="Y91">
        <v>1.1710000038146899</v>
      </c>
      <c r="Z91" t="str">
        <f t="shared" si="10"/>
        <v>DOWN</v>
      </c>
      <c r="AA91">
        <v>0</v>
      </c>
      <c r="AB91">
        <v>0</v>
      </c>
      <c r="AC91">
        <v>0</v>
      </c>
      <c r="AD91">
        <v>0</v>
      </c>
    </row>
    <row r="92" spans="1:30" hidden="1" x14ac:dyDescent="0.35">
      <c r="A92" s="2">
        <v>45881</v>
      </c>
      <c r="B92" t="s">
        <v>30</v>
      </c>
      <c r="C92">
        <v>1.1715500354766799</v>
      </c>
      <c r="D92">
        <v>1.1715999841689999</v>
      </c>
      <c r="E92">
        <v>1.1708500385284399</v>
      </c>
      <c r="F92">
        <v>1.1709500551223699</v>
      </c>
      <c r="G92">
        <v>16</v>
      </c>
      <c r="H92">
        <v>1.17069001197814</v>
      </c>
      <c r="I92">
        <v>2.7000904083251899E-4</v>
      </c>
      <c r="J92" t="str">
        <f t="shared" si="11"/>
        <v>UP</v>
      </c>
      <c r="K92">
        <v>1.1733640074729901</v>
      </c>
      <c r="L92" s="1">
        <v>-8.1000328064018094E-5</v>
      </c>
      <c r="M92" t="str">
        <f t="shared" si="12"/>
        <v>DOWN</v>
      </c>
      <c r="N92">
        <v>-2.6739954948424801E-3</v>
      </c>
      <c r="O92" t="str">
        <f t="shared" si="13"/>
        <v>DOWN</v>
      </c>
      <c r="P92">
        <v>47.299046122250203</v>
      </c>
      <c r="Q92">
        <v>3.81529870211669</v>
      </c>
      <c r="R92" t="str">
        <f t="shared" si="14"/>
        <v>UP</v>
      </c>
      <c r="S92">
        <v>1.17060005664825</v>
      </c>
      <c r="T92" t="str">
        <f t="shared" si="8"/>
        <v>UP</v>
      </c>
      <c r="U92">
        <v>1.17060005664825</v>
      </c>
      <c r="V92" t="str">
        <f t="shared" si="15"/>
        <v>UP</v>
      </c>
      <c r="W92">
        <v>1.1707999706268299</v>
      </c>
      <c r="X92" t="str">
        <f t="shared" si="9"/>
        <v>UP</v>
      </c>
      <c r="Y92">
        <v>1.17060005664825</v>
      </c>
      <c r="Z92" t="str">
        <f t="shared" si="10"/>
        <v>UP</v>
      </c>
      <c r="AA92">
        <v>0</v>
      </c>
      <c r="AB92">
        <v>0</v>
      </c>
      <c r="AC92">
        <v>0</v>
      </c>
      <c r="AD92">
        <v>0</v>
      </c>
    </row>
    <row r="93" spans="1:30" hidden="1" x14ac:dyDescent="0.35">
      <c r="A93" s="2">
        <v>45881</v>
      </c>
      <c r="B93" t="s">
        <v>31</v>
      </c>
      <c r="C93">
        <v>1.1712499856948799</v>
      </c>
      <c r="D93">
        <v>1.1712499856948799</v>
      </c>
      <c r="E93">
        <v>1.1712499856948799</v>
      </c>
      <c r="F93">
        <v>1.1712499856948799</v>
      </c>
      <c r="G93">
        <v>2</v>
      </c>
      <c r="H93">
        <v>1.17104001045227</v>
      </c>
      <c r="I93">
        <v>3.4999847412109299E-4</v>
      </c>
      <c r="J93" t="str">
        <f t="shared" si="11"/>
        <v>UP</v>
      </c>
      <c r="K93">
        <v>1.1733140063285801</v>
      </c>
      <c r="L93" s="1">
        <v>-5.0001144409117501E-5</v>
      </c>
      <c r="M93" t="str">
        <f t="shared" si="12"/>
        <v>DOWN</v>
      </c>
      <c r="N93">
        <v>-2.2739958763122702E-3</v>
      </c>
      <c r="O93" t="str">
        <f t="shared" si="13"/>
        <v>DOWN</v>
      </c>
      <c r="P93">
        <v>45.962338306346197</v>
      </c>
      <c r="Q93">
        <v>-1.33670781590399</v>
      </c>
      <c r="R93" t="str">
        <f t="shared" si="14"/>
        <v>DOWN</v>
      </c>
      <c r="S93">
        <v>1.1708500385284399</v>
      </c>
      <c r="T93" t="str">
        <f t="shared" si="8"/>
        <v>UP</v>
      </c>
      <c r="U93">
        <v>1.17060005664825</v>
      </c>
      <c r="V93" t="str">
        <f t="shared" si="15"/>
        <v>UP</v>
      </c>
      <c r="W93">
        <v>1.1715999841689999</v>
      </c>
      <c r="X93" t="str">
        <f t="shared" si="9"/>
        <v>DOWN</v>
      </c>
      <c r="Y93">
        <v>1.1707999706268299</v>
      </c>
      <c r="Z93" t="str">
        <f t="shared" si="10"/>
        <v>UP</v>
      </c>
      <c r="AA93">
        <v>0</v>
      </c>
      <c r="AB93">
        <v>0</v>
      </c>
      <c r="AC93">
        <v>0</v>
      </c>
      <c r="AD93">
        <v>0</v>
      </c>
    </row>
    <row r="94" spans="1:30" hidden="1" x14ac:dyDescent="0.35">
      <c r="A94" s="2">
        <v>45881</v>
      </c>
      <c r="B94" t="s">
        <v>32</v>
      </c>
      <c r="C94">
        <v>1.1712000370025599</v>
      </c>
      <c r="D94">
        <v>1.1712000370025599</v>
      </c>
      <c r="E94">
        <v>1.1712000370025599</v>
      </c>
      <c r="F94">
        <v>1.1712000370025599</v>
      </c>
      <c r="G94">
        <v>1</v>
      </c>
      <c r="H94">
        <v>1.1710800170898401</v>
      </c>
      <c r="I94" s="1">
        <v>4.0006637573197697E-5</v>
      </c>
      <c r="J94" t="str">
        <f t="shared" si="11"/>
        <v>UP</v>
      </c>
      <c r="K94">
        <v>1.1732460069656301</v>
      </c>
      <c r="L94" s="1">
        <v>-6.7999362945547705E-5</v>
      </c>
      <c r="M94" t="str">
        <f t="shared" si="12"/>
        <v>DOWN</v>
      </c>
      <c r="N94">
        <v>-2.1659898757935198E-3</v>
      </c>
      <c r="O94" t="str">
        <f t="shared" si="13"/>
        <v>DOWN</v>
      </c>
      <c r="P94">
        <v>45.730648484432002</v>
      </c>
      <c r="Q94">
        <v>-0.23168982191417301</v>
      </c>
      <c r="R94" t="str">
        <f t="shared" si="14"/>
        <v>DOWN</v>
      </c>
      <c r="S94">
        <v>1.1712499856948799</v>
      </c>
      <c r="T94" t="str">
        <f t="shared" si="8"/>
        <v>DOWN</v>
      </c>
      <c r="U94">
        <v>1.1708500385284399</v>
      </c>
      <c r="V94" t="str">
        <f t="shared" si="15"/>
        <v>UP</v>
      </c>
      <c r="W94">
        <v>1.1712499856948799</v>
      </c>
      <c r="X94" t="str">
        <f t="shared" si="9"/>
        <v>DOWN</v>
      </c>
      <c r="Y94">
        <v>1.1715999841689999</v>
      </c>
      <c r="Z94" t="str">
        <f t="shared" si="10"/>
        <v>DOWN</v>
      </c>
      <c r="AA94">
        <v>0</v>
      </c>
      <c r="AB94">
        <v>0</v>
      </c>
      <c r="AC94">
        <v>0</v>
      </c>
      <c r="AD94">
        <v>0</v>
      </c>
    </row>
    <row r="95" spans="1:30" hidden="1" x14ac:dyDescent="0.35">
      <c r="A95" s="2">
        <v>45881</v>
      </c>
      <c r="B95" t="s">
        <v>33</v>
      </c>
      <c r="C95">
        <v>1.1715999841689999</v>
      </c>
      <c r="D95">
        <v>1.1715999841689999</v>
      </c>
      <c r="E95">
        <v>1.1715999841689999</v>
      </c>
      <c r="F95">
        <v>1.1715999841689999</v>
      </c>
      <c r="G95">
        <v>5</v>
      </c>
      <c r="H95">
        <v>1.17128000259399</v>
      </c>
      <c r="I95">
        <v>1.9998550415056799E-4</v>
      </c>
      <c r="J95" t="str">
        <f t="shared" si="11"/>
        <v>UP</v>
      </c>
      <c r="K95">
        <v>1.1732000064849799</v>
      </c>
      <c r="L95" s="1">
        <v>-4.6000480651731097E-5</v>
      </c>
      <c r="M95" t="str">
        <f t="shared" si="12"/>
        <v>DOWN</v>
      </c>
      <c r="N95">
        <v>-1.92000389099122E-3</v>
      </c>
      <c r="O95" t="str">
        <f t="shared" si="13"/>
        <v>DOWN</v>
      </c>
      <c r="P95">
        <v>47.9913519006003</v>
      </c>
      <c r="Q95">
        <v>2.2607034161682402</v>
      </c>
      <c r="R95" t="str">
        <f t="shared" si="14"/>
        <v>UP</v>
      </c>
      <c r="S95">
        <v>1.1712000370025599</v>
      </c>
      <c r="T95" t="str">
        <f t="shared" si="8"/>
        <v>UP</v>
      </c>
      <c r="U95">
        <v>1.1712499856948799</v>
      </c>
      <c r="V95" t="str">
        <f t="shared" si="15"/>
        <v>UP</v>
      </c>
      <c r="W95">
        <v>1.1712000370025599</v>
      </c>
      <c r="X95" t="str">
        <f t="shared" si="9"/>
        <v>UP</v>
      </c>
      <c r="Y95">
        <v>1.1712499856948799</v>
      </c>
      <c r="Z95" t="str">
        <f t="shared" si="10"/>
        <v>UP</v>
      </c>
      <c r="AA95">
        <v>0</v>
      </c>
      <c r="AB95">
        <v>0</v>
      </c>
      <c r="AC95">
        <v>0</v>
      </c>
      <c r="AD95">
        <v>0</v>
      </c>
    </row>
    <row r="96" spans="1:30" hidden="1" x14ac:dyDescent="0.35">
      <c r="A96" s="2">
        <v>45881</v>
      </c>
      <c r="B96" t="s">
        <v>34</v>
      </c>
      <c r="C96">
        <v>1.17030000686645</v>
      </c>
      <c r="D96">
        <v>1.17065000534057</v>
      </c>
      <c r="E96">
        <v>1.17030000686645</v>
      </c>
      <c r="F96">
        <v>1.17065000534057</v>
      </c>
      <c r="G96">
        <v>8</v>
      </c>
      <c r="H96">
        <v>1.1711800098419101</v>
      </c>
      <c r="I96" s="1">
        <v>-9.9992752075284103E-5</v>
      </c>
      <c r="J96" t="str">
        <f t="shared" si="11"/>
        <v>DOWN</v>
      </c>
      <c r="K96">
        <v>1.1731730055809</v>
      </c>
      <c r="L96" s="1">
        <v>-2.7000904083251899E-5</v>
      </c>
      <c r="M96" t="str">
        <f t="shared" si="12"/>
        <v>DOWN</v>
      </c>
      <c r="N96">
        <v>-1.99299573898326E-3</v>
      </c>
      <c r="O96" t="str">
        <f t="shared" si="13"/>
        <v>DOWN</v>
      </c>
      <c r="P96">
        <v>41.883975529849899</v>
      </c>
      <c r="Q96">
        <v>-6.1073763707503499</v>
      </c>
      <c r="R96" t="str">
        <f t="shared" si="14"/>
        <v>DOWN</v>
      </c>
      <c r="S96">
        <v>1.1715999841689999</v>
      </c>
      <c r="T96" t="str">
        <f t="shared" si="8"/>
        <v>DOWN</v>
      </c>
      <c r="U96">
        <v>1.1712000370025599</v>
      </c>
      <c r="V96" t="str">
        <f t="shared" si="15"/>
        <v>DOWN</v>
      </c>
      <c r="W96">
        <v>1.1715999841689999</v>
      </c>
      <c r="X96" t="str">
        <f t="shared" si="9"/>
        <v>DOWN</v>
      </c>
      <c r="Y96">
        <v>1.1712000370025599</v>
      </c>
      <c r="Z96" t="str">
        <f t="shared" si="10"/>
        <v>DOWN</v>
      </c>
      <c r="AA96">
        <v>0</v>
      </c>
      <c r="AB96">
        <v>0</v>
      </c>
      <c r="AC96">
        <v>0</v>
      </c>
      <c r="AD96">
        <v>0</v>
      </c>
    </row>
    <row r="97" spans="1:30" hidden="1" x14ac:dyDescent="0.35">
      <c r="A97" s="2">
        <v>45881</v>
      </c>
      <c r="B97" t="s">
        <v>35</v>
      </c>
      <c r="C97">
        <v>1.1712000370025599</v>
      </c>
      <c r="D97">
        <v>1.1712000370025599</v>
      </c>
      <c r="E97">
        <v>1.16980004310607</v>
      </c>
      <c r="F97">
        <v>1.16980004310607</v>
      </c>
      <c r="G97">
        <v>11</v>
      </c>
      <c r="H97">
        <v>1.1711100101470899</v>
      </c>
      <c r="I97" s="1">
        <v>-6.9999694824129905E-5</v>
      </c>
      <c r="J97" t="str">
        <f t="shared" si="11"/>
        <v>DOWN</v>
      </c>
      <c r="K97">
        <v>1.1731340074539101</v>
      </c>
      <c r="L97" s="1">
        <v>-3.8998126983713599E-5</v>
      </c>
      <c r="M97" t="str">
        <f t="shared" si="12"/>
        <v>DOWN</v>
      </c>
      <c r="N97">
        <v>-2.0239973068236698E-3</v>
      </c>
      <c r="O97" t="str">
        <f t="shared" si="13"/>
        <v>DOWN</v>
      </c>
      <c r="P97">
        <v>46.920431580719203</v>
      </c>
      <c r="Q97">
        <v>5.03645605086923</v>
      </c>
      <c r="R97" t="str">
        <f t="shared" si="14"/>
        <v>UP</v>
      </c>
      <c r="S97">
        <v>1.17030000686645</v>
      </c>
      <c r="T97" t="str">
        <f t="shared" si="8"/>
        <v>DOWN</v>
      </c>
      <c r="U97">
        <v>1.1715999841689999</v>
      </c>
      <c r="V97" t="str">
        <f t="shared" si="15"/>
        <v>DOWN</v>
      </c>
      <c r="W97">
        <v>1.17065000534057</v>
      </c>
      <c r="X97" t="str">
        <f t="shared" si="9"/>
        <v>UP</v>
      </c>
      <c r="Y97">
        <v>1.1715999841689999</v>
      </c>
      <c r="Z97" t="str">
        <f t="shared" si="10"/>
        <v>DOWN</v>
      </c>
      <c r="AA97">
        <v>0</v>
      </c>
      <c r="AB97">
        <v>0</v>
      </c>
      <c r="AC97">
        <v>0</v>
      </c>
      <c r="AD97">
        <v>0</v>
      </c>
    </row>
    <row r="98" spans="1:30" hidden="1" x14ac:dyDescent="0.35">
      <c r="A98" s="2">
        <v>45881</v>
      </c>
      <c r="B98" t="s">
        <v>36</v>
      </c>
      <c r="C98">
        <v>1.17034995555877</v>
      </c>
      <c r="D98">
        <v>1.1710499525070099</v>
      </c>
      <c r="E98">
        <v>1.17034995555877</v>
      </c>
      <c r="F98">
        <v>1.1710499525070099</v>
      </c>
      <c r="G98">
        <v>26</v>
      </c>
      <c r="H98">
        <v>1.17093000411987</v>
      </c>
      <c r="I98">
        <v>-1.8000602722167901E-4</v>
      </c>
      <c r="J98" t="str">
        <f t="shared" si="11"/>
        <v>DOWN</v>
      </c>
      <c r="K98">
        <v>1.17308000564575</v>
      </c>
      <c r="L98" s="1">
        <v>-5.4001808166503899E-5</v>
      </c>
      <c r="M98" t="str">
        <f t="shared" si="12"/>
        <v>DOWN</v>
      </c>
      <c r="N98">
        <v>-2.1500015258788499E-3</v>
      </c>
      <c r="O98" t="str">
        <f t="shared" si="13"/>
        <v>DOWN</v>
      </c>
      <c r="P98">
        <v>43.119492093919902</v>
      </c>
      <c r="Q98">
        <v>-3.8009394867992299</v>
      </c>
      <c r="R98" t="str">
        <f t="shared" si="14"/>
        <v>DOWN</v>
      </c>
      <c r="S98">
        <v>1.16980004310607</v>
      </c>
      <c r="T98" t="str">
        <f t="shared" si="8"/>
        <v>UP</v>
      </c>
      <c r="U98">
        <v>1.17030000686645</v>
      </c>
      <c r="V98" t="str">
        <f t="shared" si="15"/>
        <v>UP</v>
      </c>
      <c r="W98">
        <v>1.1712000370025599</v>
      </c>
      <c r="X98" t="str">
        <f t="shared" si="9"/>
        <v>DOWN</v>
      </c>
      <c r="Y98">
        <v>1.17065000534057</v>
      </c>
      <c r="Z98" t="str">
        <f t="shared" si="10"/>
        <v>UP</v>
      </c>
      <c r="AA98">
        <v>0</v>
      </c>
      <c r="AB98">
        <v>0</v>
      </c>
      <c r="AC98">
        <v>0</v>
      </c>
      <c r="AD98">
        <v>0</v>
      </c>
    </row>
    <row r="99" spans="1:30" hidden="1" x14ac:dyDescent="0.35">
      <c r="A99" s="2">
        <v>45881</v>
      </c>
      <c r="B99" t="s">
        <v>37</v>
      </c>
      <c r="C99">
        <v>1.16970002651214</v>
      </c>
      <c r="D99">
        <v>1.1708999872207599</v>
      </c>
      <c r="E99">
        <v>1.16970002651214</v>
      </c>
      <c r="F99">
        <v>1.1708999872207599</v>
      </c>
      <c r="G99">
        <v>8</v>
      </c>
      <c r="H99">
        <v>1.1706300020217799</v>
      </c>
      <c r="I99">
        <v>-3.0000209808367302E-4</v>
      </c>
      <c r="J99" t="str">
        <f t="shared" si="11"/>
        <v>DOWN</v>
      </c>
      <c r="K99">
        <v>1.1730140066146799</v>
      </c>
      <c r="L99" s="1">
        <v>-6.5999031066965504E-5</v>
      </c>
      <c r="M99" t="str">
        <f t="shared" si="12"/>
        <v>DOWN</v>
      </c>
      <c r="N99">
        <v>-2.3840045928955598E-3</v>
      </c>
      <c r="O99" t="str">
        <f t="shared" si="13"/>
        <v>DOWN</v>
      </c>
      <c r="P99">
        <v>40.423300086076303</v>
      </c>
      <c r="Q99">
        <v>-2.6961920078435901</v>
      </c>
      <c r="R99" t="str">
        <f t="shared" si="14"/>
        <v>DOWN</v>
      </c>
      <c r="S99">
        <v>1.17034995555877</v>
      </c>
      <c r="T99" t="str">
        <f t="shared" si="8"/>
        <v>DOWN</v>
      </c>
      <c r="U99">
        <v>1.16980004310607</v>
      </c>
      <c r="V99" t="str">
        <f t="shared" si="15"/>
        <v>DOWN</v>
      </c>
      <c r="W99">
        <v>1.1710499525070099</v>
      </c>
      <c r="X99" t="str">
        <f t="shared" si="9"/>
        <v>DOWN</v>
      </c>
      <c r="Y99">
        <v>1.1712000370025599</v>
      </c>
      <c r="Z99" t="str">
        <f t="shared" si="10"/>
        <v>DOWN</v>
      </c>
      <c r="AA99">
        <v>0</v>
      </c>
      <c r="AB99">
        <v>0</v>
      </c>
      <c r="AC99">
        <v>0</v>
      </c>
      <c r="AD99">
        <v>0</v>
      </c>
    </row>
    <row r="100" spans="1:30" hidden="1" x14ac:dyDescent="0.35">
      <c r="A100" s="2">
        <v>45881</v>
      </c>
      <c r="B100" t="s">
        <v>20</v>
      </c>
      <c r="C100">
        <v>1.16999995708465</v>
      </c>
      <c r="D100">
        <v>1.16999995708465</v>
      </c>
      <c r="E100">
        <v>1.16999995708465</v>
      </c>
      <c r="F100">
        <v>1.16999995708465</v>
      </c>
      <c r="G100">
        <v>1</v>
      </c>
      <c r="H100">
        <v>1.17030999660491</v>
      </c>
      <c r="I100">
        <v>-3.2000541686993901E-4</v>
      </c>
      <c r="J100" t="str">
        <f t="shared" si="11"/>
        <v>DOWN</v>
      </c>
      <c r="K100">
        <v>1.1729760050773601</v>
      </c>
      <c r="L100" s="1">
        <v>-3.8001537322918097E-5</v>
      </c>
      <c r="M100" t="str">
        <f t="shared" si="12"/>
        <v>DOWN</v>
      </c>
      <c r="N100">
        <v>-2.6660084724425799E-3</v>
      </c>
      <c r="O100" t="str">
        <f t="shared" si="13"/>
        <v>DOWN</v>
      </c>
      <c r="P100">
        <v>42.218871461099603</v>
      </c>
      <c r="Q100">
        <v>1.79557137502325</v>
      </c>
      <c r="R100" t="str">
        <f t="shared" si="14"/>
        <v>UP</v>
      </c>
      <c r="S100">
        <v>1.16970002651214</v>
      </c>
      <c r="T100" t="str">
        <f t="shared" si="8"/>
        <v>UP</v>
      </c>
      <c r="U100">
        <v>1.17034995555877</v>
      </c>
      <c r="V100" t="str">
        <f t="shared" si="15"/>
        <v>DOWN</v>
      </c>
      <c r="W100">
        <v>1.1708999872207599</v>
      </c>
      <c r="X100" t="str">
        <f t="shared" si="9"/>
        <v>DOWN</v>
      </c>
      <c r="Y100">
        <v>1.1710499525070099</v>
      </c>
      <c r="Z100" t="str">
        <f t="shared" si="10"/>
        <v>DOWN</v>
      </c>
      <c r="AA100">
        <v>0</v>
      </c>
      <c r="AB100">
        <v>0</v>
      </c>
      <c r="AC100">
        <v>0</v>
      </c>
      <c r="AD100">
        <v>0</v>
      </c>
    </row>
    <row r="101" spans="1:30" hidden="1" x14ac:dyDescent="0.35">
      <c r="A101" s="2">
        <v>45881</v>
      </c>
      <c r="B101" t="s">
        <v>21</v>
      </c>
      <c r="C101">
        <v>1.16949999332427</v>
      </c>
      <c r="D101">
        <v>1.16995000839233</v>
      </c>
      <c r="E101">
        <v>1.16949999332427</v>
      </c>
      <c r="F101">
        <v>1.16995000839233</v>
      </c>
      <c r="G101">
        <v>26</v>
      </c>
      <c r="H101">
        <v>1.1701499938964799</v>
      </c>
      <c r="I101">
        <v>-1.6000270843519101E-4</v>
      </c>
      <c r="J101" t="str">
        <f t="shared" si="11"/>
        <v>DOWN</v>
      </c>
      <c r="K101">
        <v>1.1728780055046</v>
      </c>
      <c r="L101" s="1">
        <v>-9.7999572753915105E-5</v>
      </c>
      <c r="M101" t="str">
        <f t="shared" si="12"/>
        <v>DOWN</v>
      </c>
      <c r="N101">
        <v>-2.7280116081238501E-3</v>
      </c>
      <c r="O101" t="str">
        <f t="shared" si="13"/>
        <v>DOWN</v>
      </c>
      <c r="P101">
        <v>40.051906463953301</v>
      </c>
      <c r="Q101">
        <v>-2.1669649971462701</v>
      </c>
      <c r="R101" t="str">
        <f t="shared" si="14"/>
        <v>DOWN</v>
      </c>
      <c r="S101">
        <v>1.16999995708465</v>
      </c>
      <c r="T101" t="str">
        <f t="shared" si="8"/>
        <v>DOWN</v>
      </c>
      <c r="U101">
        <v>1.16970002651214</v>
      </c>
      <c r="V101" t="str">
        <f t="shared" si="15"/>
        <v>DOWN</v>
      </c>
      <c r="W101">
        <v>1.16999995708465</v>
      </c>
      <c r="X101" t="str">
        <f t="shared" si="9"/>
        <v>DOWN</v>
      </c>
      <c r="Y101">
        <v>1.1708999872207599</v>
      </c>
      <c r="Z101" t="str">
        <f t="shared" si="10"/>
        <v>DOWN</v>
      </c>
      <c r="AA101">
        <v>0</v>
      </c>
      <c r="AB101">
        <v>1</v>
      </c>
      <c r="AC101">
        <v>0</v>
      </c>
      <c r="AD101">
        <v>0</v>
      </c>
    </row>
    <row r="102" spans="1:30" hidden="1" x14ac:dyDescent="0.35">
      <c r="A102" s="2">
        <v>45881</v>
      </c>
      <c r="B102" t="s">
        <v>22</v>
      </c>
      <c r="C102">
        <v>1.1729500293731601</v>
      </c>
      <c r="D102">
        <v>1.1744999885559</v>
      </c>
      <c r="E102">
        <v>1.16964995861053</v>
      </c>
      <c r="F102">
        <v>1.16964995861053</v>
      </c>
      <c r="G102">
        <v>2763</v>
      </c>
      <c r="H102">
        <v>1.1704999923706001</v>
      </c>
      <c r="I102">
        <v>3.4999847412109299E-4</v>
      </c>
      <c r="J102" t="str">
        <f t="shared" si="11"/>
        <v>UP</v>
      </c>
      <c r="K102">
        <v>1.17281700611114</v>
      </c>
      <c r="L102" s="1">
        <v>-6.0999393463267898E-5</v>
      </c>
      <c r="M102" t="str">
        <f t="shared" si="12"/>
        <v>DOWN</v>
      </c>
      <c r="N102">
        <v>-2.3170137405394901E-3</v>
      </c>
      <c r="O102" t="str">
        <f t="shared" si="13"/>
        <v>DOWN</v>
      </c>
      <c r="P102">
        <v>56.604326529880197</v>
      </c>
      <c r="Q102">
        <v>16.5524200659268</v>
      </c>
      <c r="R102" t="str">
        <f t="shared" si="14"/>
        <v>UP</v>
      </c>
      <c r="S102">
        <v>1.16949999332427</v>
      </c>
      <c r="T102" t="str">
        <f t="shared" si="8"/>
        <v>UP</v>
      </c>
      <c r="U102">
        <v>1.16999995708465</v>
      </c>
      <c r="V102" t="str">
        <f t="shared" si="15"/>
        <v>DOWN</v>
      </c>
      <c r="W102">
        <v>1.16995000839233</v>
      </c>
      <c r="X102" t="str">
        <f t="shared" si="9"/>
        <v>UP</v>
      </c>
      <c r="Y102">
        <v>1.16999995708465</v>
      </c>
      <c r="Z102" t="str">
        <f t="shared" si="10"/>
        <v>UP</v>
      </c>
      <c r="AA102">
        <v>0</v>
      </c>
      <c r="AB102">
        <v>0</v>
      </c>
      <c r="AC102">
        <v>0</v>
      </c>
      <c r="AD102">
        <v>0</v>
      </c>
    </row>
    <row r="103" spans="1:30" hidden="1" x14ac:dyDescent="0.35">
      <c r="A103" s="2">
        <v>45881</v>
      </c>
      <c r="B103" t="s">
        <v>23</v>
      </c>
      <c r="C103">
        <v>1.17359995841979</v>
      </c>
      <c r="D103">
        <v>1.1756500005721999</v>
      </c>
      <c r="E103">
        <v>1.1709500551223699</v>
      </c>
      <c r="F103">
        <v>1.1718499660491899</v>
      </c>
      <c r="G103">
        <v>284</v>
      </c>
      <c r="H103">
        <v>1.17114999294281</v>
      </c>
      <c r="I103">
        <v>6.50000572204545E-4</v>
      </c>
      <c r="J103" t="str">
        <f t="shared" si="11"/>
        <v>UP</v>
      </c>
      <c r="K103">
        <v>1.1727550053596401</v>
      </c>
      <c r="L103" s="1">
        <v>-6.2000751495316906E-5</v>
      </c>
      <c r="M103" t="str">
        <f t="shared" si="12"/>
        <v>DOWN</v>
      </c>
      <c r="N103">
        <v>-1.6050124168396299E-3</v>
      </c>
      <c r="O103" t="str">
        <f t="shared" si="13"/>
        <v>DOWN</v>
      </c>
      <c r="P103">
        <v>58.906240031194699</v>
      </c>
      <c r="Q103">
        <v>2.30191350131454</v>
      </c>
      <c r="R103" t="str">
        <f t="shared" si="14"/>
        <v>UP</v>
      </c>
      <c r="S103">
        <v>1.16964995861053</v>
      </c>
      <c r="T103" t="str">
        <f t="shared" si="8"/>
        <v>UP</v>
      </c>
      <c r="U103">
        <v>1.16949999332427</v>
      </c>
      <c r="V103" t="str">
        <f t="shared" si="15"/>
        <v>UP</v>
      </c>
      <c r="W103">
        <v>1.1744999885559</v>
      </c>
      <c r="X103" t="str">
        <f t="shared" si="9"/>
        <v>UP</v>
      </c>
      <c r="Y103">
        <v>1.16995000839233</v>
      </c>
      <c r="Z103" t="str">
        <f t="shared" si="10"/>
        <v>UP</v>
      </c>
      <c r="AA103">
        <v>0</v>
      </c>
      <c r="AB103">
        <v>0</v>
      </c>
      <c r="AC103">
        <v>0</v>
      </c>
      <c r="AD103">
        <v>0</v>
      </c>
    </row>
    <row r="104" spans="1:30" hidden="1" x14ac:dyDescent="0.35">
      <c r="A104" s="2">
        <v>45881</v>
      </c>
      <c r="B104" t="s">
        <v>24</v>
      </c>
      <c r="C104">
        <v>1.17490005493164</v>
      </c>
      <c r="D104">
        <v>1.17499995231628</v>
      </c>
      <c r="E104">
        <v>1.17355000972747</v>
      </c>
      <c r="F104">
        <v>1.17439997196197</v>
      </c>
      <c r="G104">
        <v>26</v>
      </c>
      <c r="H104">
        <v>1.1721899986266999</v>
      </c>
      <c r="I104">
        <v>1.0400056838990499E-3</v>
      </c>
      <c r="J104" t="str">
        <f t="shared" si="11"/>
        <v>UP</v>
      </c>
      <c r="K104">
        <v>1.17271800756454</v>
      </c>
      <c r="L104" s="1">
        <v>-3.6997795104909401E-5</v>
      </c>
      <c r="M104" t="str">
        <f t="shared" si="12"/>
        <v>DOWN</v>
      </c>
      <c r="N104">
        <v>-5.2800893783566596E-4</v>
      </c>
      <c r="O104" t="str">
        <f t="shared" si="13"/>
        <v>DOWN</v>
      </c>
      <c r="P104">
        <v>63.120505213206798</v>
      </c>
      <c r="Q104">
        <v>4.2142651820121202</v>
      </c>
      <c r="R104" t="str">
        <f t="shared" si="14"/>
        <v>UP</v>
      </c>
      <c r="S104">
        <v>1.1709500551223699</v>
      </c>
      <c r="T104" t="str">
        <f t="shared" si="8"/>
        <v>UP</v>
      </c>
      <c r="U104">
        <v>1.16964995861053</v>
      </c>
      <c r="V104" t="str">
        <f t="shared" si="15"/>
        <v>UP</v>
      </c>
      <c r="W104">
        <v>1.1756500005721999</v>
      </c>
      <c r="X104" t="str">
        <f t="shared" si="9"/>
        <v>DOWN</v>
      </c>
      <c r="Y104">
        <v>1.1744999885559</v>
      </c>
      <c r="Z104" t="str">
        <f t="shared" si="10"/>
        <v>UP</v>
      </c>
      <c r="AA104">
        <v>0</v>
      </c>
      <c r="AB104">
        <v>0</v>
      </c>
      <c r="AC104">
        <v>0</v>
      </c>
      <c r="AD104">
        <v>0</v>
      </c>
    </row>
    <row r="105" spans="1:30" hidden="1" x14ac:dyDescent="0.35">
      <c r="A105" s="2">
        <v>45881</v>
      </c>
      <c r="B105" t="s">
        <v>25</v>
      </c>
      <c r="C105">
        <v>1.1763999462127599</v>
      </c>
      <c r="D105">
        <v>1.17820000648498</v>
      </c>
      <c r="E105">
        <v>1.1754499673843299</v>
      </c>
      <c r="F105">
        <v>1.1754499673843299</v>
      </c>
      <c r="G105">
        <v>177</v>
      </c>
      <c r="H105">
        <v>1.1734699964523301</v>
      </c>
      <c r="I105">
        <v>1.2799978256226E-3</v>
      </c>
      <c r="J105" t="str">
        <f t="shared" si="11"/>
        <v>UP</v>
      </c>
      <c r="K105">
        <v>1.17271800756454</v>
      </c>
      <c r="L105">
        <v>0</v>
      </c>
      <c r="M105" t="str">
        <f t="shared" si="12"/>
        <v>DOWN</v>
      </c>
      <c r="N105">
        <v>7.5198888778693596E-4</v>
      </c>
      <c r="O105" t="str">
        <f t="shared" si="13"/>
        <v>UP</v>
      </c>
      <c r="P105">
        <v>67.288399070721894</v>
      </c>
      <c r="Q105">
        <v>4.1678938575150797</v>
      </c>
      <c r="R105" t="str">
        <f t="shared" si="14"/>
        <v>UP</v>
      </c>
      <c r="S105">
        <v>1.17355000972747</v>
      </c>
      <c r="T105" t="str">
        <f t="shared" si="8"/>
        <v>UP</v>
      </c>
      <c r="U105">
        <v>1.1709500551223699</v>
      </c>
      <c r="V105" t="str">
        <f t="shared" si="15"/>
        <v>UP</v>
      </c>
      <c r="W105">
        <v>1.17499995231628</v>
      </c>
      <c r="X105" t="str">
        <f t="shared" si="9"/>
        <v>UP</v>
      </c>
      <c r="Y105">
        <v>1.1756500005721999</v>
      </c>
      <c r="Z105" t="str">
        <f t="shared" si="10"/>
        <v>UP</v>
      </c>
      <c r="AA105">
        <v>1</v>
      </c>
      <c r="AB105">
        <v>0</v>
      </c>
      <c r="AC105">
        <v>0</v>
      </c>
      <c r="AD105">
        <v>0</v>
      </c>
    </row>
    <row r="106" spans="1:30" hidden="1" x14ac:dyDescent="0.35">
      <c r="A106" s="2">
        <v>45881</v>
      </c>
      <c r="B106" t="s">
        <v>26</v>
      </c>
      <c r="C106">
        <v>1.1756999492645199</v>
      </c>
      <c r="D106">
        <v>1.1759999990463199</v>
      </c>
      <c r="E106">
        <v>1.1756999492645199</v>
      </c>
      <c r="F106">
        <v>1.1759999990463199</v>
      </c>
      <c r="G106">
        <v>0</v>
      </c>
      <c r="H106">
        <v>1.1747099876403799</v>
      </c>
      <c r="I106">
        <v>1.2399911880491799E-3</v>
      </c>
      <c r="J106" t="str">
        <f t="shared" si="11"/>
        <v>UP</v>
      </c>
      <c r="K106">
        <v>1.17273600578308</v>
      </c>
      <c r="L106" s="1">
        <v>1.79982185364302E-5</v>
      </c>
      <c r="M106" t="str">
        <f t="shared" si="12"/>
        <v>UP</v>
      </c>
      <c r="N106">
        <v>1.9739818572996801E-3</v>
      </c>
      <c r="O106" t="str">
        <f t="shared" si="13"/>
        <v>UP</v>
      </c>
      <c r="P106">
        <v>63.671803956001497</v>
      </c>
      <c r="Q106">
        <v>-3.6165951147204201</v>
      </c>
      <c r="R106" t="str">
        <f t="shared" si="14"/>
        <v>DOWN</v>
      </c>
      <c r="S106">
        <v>1.1754499673843299</v>
      </c>
      <c r="T106" t="str">
        <f t="shared" si="8"/>
        <v>UP</v>
      </c>
      <c r="U106">
        <v>1.17355000972747</v>
      </c>
      <c r="V106" t="str">
        <f t="shared" si="15"/>
        <v>UP</v>
      </c>
      <c r="W106">
        <v>1.17820000648498</v>
      </c>
      <c r="X106" t="str">
        <f t="shared" si="9"/>
        <v>DOWN</v>
      </c>
      <c r="Y106">
        <v>1.17499995231628</v>
      </c>
      <c r="Z106" t="str">
        <f t="shared" si="10"/>
        <v>UP</v>
      </c>
      <c r="AA106">
        <v>0</v>
      </c>
      <c r="AB106">
        <v>0</v>
      </c>
      <c r="AC106">
        <v>0</v>
      </c>
      <c r="AD106">
        <v>0</v>
      </c>
    </row>
    <row r="107" spans="1:30" hidden="1" x14ac:dyDescent="0.35">
      <c r="A107" s="2">
        <v>45881</v>
      </c>
      <c r="B107" t="s">
        <v>27</v>
      </c>
      <c r="C107">
        <v>1.1768000125885001</v>
      </c>
      <c r="D107">
        <v>1.1768000125885001</v>
      </c>
      <c r="E107">
        <v>1.1763999462127599</v>
      </c>
      <c r="F107">
        <v>1.1763999462127599</v>
      </c>
      <c r="G107">
        <v>3384</v>
      </c>
      <c r="H107">
        <v>1.17547998428344</v>
      </c>
      <c r="I107">
        <v>7.6999664306653904E-4</v>
      </c>
      <c r="J107" t="str">
        <f t="shared" si="11"/>
        <v>UP</v>
      </c>
      <c r="K107">
        <v>1.1727740049362101</v>
      </c>
      <c r="L107" s="1">
        <v>3.7999153137180298E-5</v>
      </c>
      <c r="M107" t="str">
        <f t="shared" si="12"/>
        <v>UP</v>
      </c>
      <c r="N107">
        <v>2.7059793472290401E-3</v>
      </c>
      <c r="O107" t="str">
        <f t="shared" si="13"/>
        <v>UP</v>
      </c>
      <c r="P107">
        <v>66.700806467924906</v>
      </c>
      <c r="Q107">
        <v>3.0290025119233901</v>
      </c>
      <c r="R107" t="str">
        <f t="shared" si="14"/>
        <v>UP</v>
      </c>
      <c r="S107">
        <v>1.1756999492645199</v>
      </c>
      <c r="T107" t="str">
        <f t="shared" si="8"/>
        <v>UP</v>
      </c>
      <c r="U107">
        <v>1.1754499673843299</v>
      </c>
      <c r="V107" t="str">
        <f t="shared" si="15"/>
        <v>UP</v>
      </c>
      <c r="W107">
        <v>1.1759999990463199</v>
      </c>
      <c r="X107" t="str">
        <f t="shared" si="9"/>
        <v>UP</v>
      </c>
      <c r="Y107">
        <v>1.17820000648498</v>
      </c>
      <c r="Z107" t="str">
        <f t="shared" si="10"/>
        <v>DOWN</v>
      </c>
      <c r="AA107">
        <v>0</v>
      </c>
      <c r="AB107">
        <v>0</v>
      </c>
      <c r="AC107">
        <v>0</v>
      </c>
      <c r="AD107">
        <v>0</v>
      </c>
    </row>
    <row r="108" spans="1:30" hidden="1" x14ac:dyDescent="0.35">
      <c r="A108" s="2">
        <v>45881</v>
      </c>
      <c r="B108" t="s">
        <v>38</v>
      </c>
      <c r="C108">
        <v>1.1757500171661299</v>
      </c>
      <c r="D108">
        <v>1.1758500337600699</v>
      </c>
      <c r="E108">
        <v>1.1757500171661299</v>
      </c>
      <c r="F108">
        <v>1.1758500337600699</v>
      </c>
      <c r="G108">
        <v>9</v>
      </c>
      <c r="H108">
        <v>1.17590999603271</v>
      </c>
      <c r="I108">
        <v>4.3001174926748898E-4</v>
      </c>
      <c r="J108" t="str">
        <f t="shared" si="11"/>
        <v>UP</v>
      </c>
      <c r="K108">
        <v>1.17279400587081</v>
      </c>
      <c r="L108" s="1">
        <v>2.0000934600750101E-5</v>
      </c>
      <c r="M108" t="str">
        <f t="shared" si="12"/>
        <v>UP</v>
      </c>
      <c r="N108">
        <v>3.1159901618957801E-3</v>
      </c>
      <c r="O108" t="str">
        <f t="shared" si="13"/>
        <v>UP</v>
      </c>
      <c r="P108">
        <v>61.435433588929499</v>
      </c>
      <c r="Q108">
        <v>-5.2653728789954304</v>
      </c>
      <c r="R108" t="str">
        <f t="shared" si="14"/>
        <v>DOWN</v>
      </c>
      <c r="S108">
        <v>1.1763999462127599</v>
      </c>
      <c r="T108" t="str">
        <f t="shared" si="8"/>
        <v>DOWN</v>
      </c>
      <c r="U108">
        <v>1.1756999492645199</v>
      </c>
      <c r="V108" t="str">
        <f t="shared" si="15"/>
        <v>UP</v>
      </c>
      <c r="W108">
        <v>1.1768000125885001</v>
      </c>
      <c r="X108" t="str">
        <f t="shared" si="9"/>
        <v>DOWN</v>
      </c>
      <c r="Y108">
        <v>1.1759999990463199</v>
      </c>
      <c r="Z108" t="str">
        <f t="shared" si="10"/>
        <v>DOWN</v>
      </c>
      <c r="AA108">
        <v>0</v>
      </c>
      <c r="AB108">
        <v>0</v>
      </c>
      <c r="AC108">
        <v>0</v>
      </c>
      <c r="AD108">
        <v>0</v>
      </c>
    </row>
    <row r="109" spans="1:30" hidden="1" x14ac:dyDescent="0.35">
      <c r="A109" s="2">
        <v>45881</v>
      </c>
      <c r="B109" t="s">
        <v>39</v>
      </c>
      <c r="C109">
        <v>1.1762499809265099</v>
      </c>
      <c r="D109">
        <v>1.1762499809265099</v>
      </c>
      <c r="E109">
        <v>1.1762499809265099</v>
      </c>
      <c r="F109">
        <v>1.1762499809265099</v>
      </c>
      <c r="G109">
        <v>4</v>
      </c>
      <c r="H109">
        <v>1.17617998123168</v>
      </c>
      <c r="I109">
        <v>2.6998519897469798E-4</v>
      </c>
      <c r="J109" t="str">
        <f t="shared" si="11"/>
        <v>UP</v>
      </c>
      <c r="K109">
        <v>1.17285000562667</v>
      </c>
      <c r="L109" s="1">
        <v>5.59997558593483E-5</v>
      </c>
      <c r="M109" t="str">
        <f t="shared" si="12"/>
        <v>UP</v>
      </c>
      <c r="N109">
        <v>3.3299756050111299E-3</v>
      </c>
      <c r="O109" t="str">
        <f t="shared" si="13"/>
        <v>UP</v>
      </c>
      <c r="P109">
        <v>62.935770610325001</v>
      </c>
      <c r="Q109">
        <v>1.5003370213955201</v>
      </c>
      <c r="R109" t="str">
        <f t="shared" si="14"/>
        <v>UP</v>
      </c>
      <c r="S109">
        <v>1.1757500171661299</v>
      </c>
      <c r="T109" t="str">
        <f t="shared" si="8"/>
        <v>UP</v>
      </c>
      <c r="U109">
        <v>1.1763999462127599</v>
      </c>
      <c r="V109" t="str">
        <f t="shared" si="15"/>
        <v>DOWN</v>
      </c>
      <c r="W109">
        <v>1.1758500337600699</v>
      </c>
      <c r="X109" t="str">
        <f t="shared" si="9"/>
        <v>UP</v>
      </c>
      <c r="Y109">
        <v>1.1768000125885001</v>
      </c>
      <c r="Z109" t="str">
        <f t="shared" si="10"/>
        <v>DOWN</v>
      </c>
      <c r="AA109">
        <v>0</v>
      </c>
      <c r="AB109">
        <v>0</v>
      </c>
      <c r="AC109">
        <v>0</v>
      </c>
      <c r="AD109">
        <v>0</v>
      </c>
    </row>
    <row r="110" spans="1:30" hidden="1" x14ac:dyDescent="0.35">
      <c r="A110" s="2">
        <v>45882</v>
      </c>
      <c r="B110" t="s">
        <v>29</v>
      </c>
      <c r="C110">
        <v>1.1762499809265099</v>
      </c>
      <c r="D110">
        <v>1.1762499809265099</v>
      </c>
      <c r="E110">
        <v>1.1762499809265099</v>
      </c>
      <c r="F110">
        <v>1.1762499809265099</v>
      </c>
      <c r="G110">
        <v>0</v>
      </c>
      <c r="H110">
        <v>1.17614998817443</v>
      </c>
      <c r="I110" s="1">
        <v>-2.99930572511541E-5</v>
      </c>
      <c r="J110" t="str">
        <f t="shared" si="11"/>
        <v>DOWN</v>
      </c>
      <c r="K110">
        <v>1.17289700508117</v>
      </c>
      <c r="L110" s="1">
        <v>4.6999454498264303E-5</v>
      </c>
      <c r="M110" t="str">
        <f t="shared" si="12"/>
        <v>UP</v>
      </c>
      <c r="N110">
        <v>3.2529830932617101E-3</v>
      </c>
      <c r="O110" t="str">
        <f t="shared" si="13"/>
        <v>UP</v>
      </c>
      <c r="P110">
        <v>62.935770610325001</v>
      </c>
      <c r="Q110" s="1">
        <v>-7.1054273576010003E-15</v>
      </c>
      <c r="R110" t="str">
        <f t="shared" si="14"/>
        <v>DOWN</v>
      </c>
      <c r="S110">
        <v>1.1762499809265099</v>
      </c>
      <c r="T110" t="str">
        <f t="shared" si="8"/>
        <v>UP</v>
      </c>
      <c r="U110">
        <v>1.1757500171661299</v>
      </c>
      <c r="V110" t="str">
        <f t="shared" si="15"/>
        <v>UP</v>
      </c>
      <c r="W110">
        <v>1.1762499809265099</v>
      </c>
      <c r="X110" t="str">
        <f t="shared" si="9"/>
        <v>DOWN</v>
      </c>
      <c r="Y110">
        <v>1.1758500337600699</v>
      </c>
      <c r="Z110" t="str">
        <f t="shared" si="10"/>
        <v>UP</v>
      </c>
      <c r="AA110">
        <v>0</v>
      </c>
      <c r="AB110">
        <v>0</v>
      </c>
      <c r="AC110">
        <v>0</v>
      </c>
      <c r="AD110">
        <v>0</v>
      </c>
    </row>
    <row r="111" spans="1:30" hidden="1" x14ac:dyDescent="0.35">
      <c r="A111" s="2">
        <v>45882</v>
      </c>
      <c r="B111" t="s">
        <v>30</v>
      </c>
      <c r="C111">
        <v>1.1773500442504801</v>
      </c>
      <c r="D111">
        <v>1.1773500442504801</v>
      </c>
      <c r="E111">
        <v>1.1773500442504801</v>
      </c>
      <c r="F111">
        <v>1.1773500442504801</v>
      </c>
      <c r="G111">
        <v>2</v>
      </c>
      <c r="H111">
        <v>1.1764800071716299</v>
      </c>
      <c r="I111">
        <v>3.30018997192427E-4</v>
      </c>
      <c r="J111" t="str">
        <f t="shared" si="11"/>
        <v>UP</v>
      </c>
      <c r="K111">
        <v>1.1729490065574599</v>
      </c>
      <c r="L111" s="1">
        <v>5.2001476287921699E-5</v>
      </c>
      <c r="M111" t="str">
        <f t="shared" si="12"/>
        <v>UP</v>
      </c>
      <c r="N111">
        <v>3.5310006141662199E-3</v>
      </c>
      <c r="O111" t="str">
        <f t="shared" si="13"/>
        <v>UP</v>
      </c>
      <c r="P111">
        <v>66.283086584333006</v>
      </c>
      <c r="Q111">
        <v>3.3473159740080098</v>
      </c>
      <c r="R111" t="str">
        <f t="shared" si="14"/>
        <v>UP</v>
      </c>
      <c r="S111">
        <v>1.1762499809265099</v>
      </c>
      <c r="T111" t="str">
        <f t="shared" si="8"/>
        <v>UP</v>
      </c>
      <c r="U111">
        <v>1.1762499809265099</v>
      </c>
      <c r="V111" t="str">
        <f t="shared" si="15"/>
        <v>UP</v>
      </c>
      <c r="W111">
        <v>1.1762499809265099</v>
      </c>
      <c r="X111" t="str">
        <f t="shared" si="9"/>
        <v>UP</v>
      </c>
      <c r="Y111">
        <v>1.1762499809265099</v>
      </c>
      <c r="Z111" t="str">
        <f t="shared" si="10"/>
        <v>UP</v>
      </c>
      <c r="AA111">
        <v>0</v>
      </c>
      <c r="AB111">
        <v>0</v>
      </c>
      <c r="AC111">
        <v>0</v>
      </c>
      <c r="AD111">
        <v>0</v>
      </c>
    </row>
    <row r="112" spans="1:30" hidden="1" x14ac:dyDescent="0.35">
      <c r="A112" s="2">
        <v>45882</v>
      </c>
      <c r="B112" t="s">
        <v>31</v>
      </c>
      <c r="C112">
        <v>1.1770499944686801</v>
      </c>
      <c r="D112">
        <v>1.1772500276565501</v>
      </c>
      <c r="E112">
        <v>1.1759999990463199</v>
      </c>
      <c r="F112">
        <v>1.1765500307083101</v>
      </c>
      <c r="G112">
        <v>18</v>
      </c>
      <c r="H112">
        <v>1.17653000354766</v>
      </c>
      <c r="I112" s="1">
        <v>4.9996376037641997E-5</v>
      </c>
      <c r="J112" t="str">
        <f t="shared" si="11"/>
        <v>UP</v>
      </c>
      <c r="K112">
        <v>1.17303400754928</v>
      </c>
      <c r="L112" s="1">
        <v>8.5000991821404499E-5</v>
      </c>
      <c r="M112" t="str">
        <f t="shared" si="12"/>
        <v>UP</v>
      </c>
      <c r="N112">
        <v>3.49599599838246E-3</v>
      </c>
      <c r="O112" t="str">
        <f t="shared" si="13"/>
        <v>UP</v>
      </c>
      <c r="P112">
        <v>64.570178592294596</v>
      </c>
      <c r="Q112">
        <v>-1.7129079920383801</v>
      </c>
      <c r="R112" t="str">
        <f t="shared" si="14"/>
        <v>DOWN</v>
      </c>
      <c r="S112">
        <v>1.1773500442504801</v>
      </c>
      <c r="T112" t="str">
        <f t="shared" si="8"/>
        <v>DOWN</v>
      </c>
      <c r="U112">
        <v>1.1762499809265099</v>
      </c>
      <c r="V112" t="str">
        <f t="shared" si="15"/>
        <v>DOWN</v>
      </c>
      <c r="W112">
        <v>1.1773500442504801</v>
      </c>
      <c r="X112" t="str">
        <f t="shared" si="9"/>
        <v>DOWN</v>
      </c>
      <c r="Y112">
        <v>1.1762499809265099</v>
      </c>
      <c r="Z112" t="str">
        <f t="shared" si="10"/>
        <v>UP</v>
      </c>
      <c r="AA112">
        <v>0</v>
      </c>
      <c r="AB112">
        <v>1</v>
      </c>
      <c r="AC112">
        <v>0</v>
      </c>
      <c r="AD112">
        <v>0</v>
      </c>
    </row>
    <row r="113" spans="1:30" hidden="1" x14ac:dyDescent="0.35">
      <c r="A113" s="2">
        <v>45882</v>
      </c>
      <c r="B113" t="s">
        <v>32</v>
      </c>
      <c r="C113">
        <v>1.1773500442504801</v>
      </c>
      <c r="D113">
        <v>1.1774499416351301</v>
      </c>
      <c r="E113">
        <v>1.1769000291824301</v>
      </c>
      <c r="F113">
        <v>1.1769000291824301</v>
      </c>
      <c r="G113">
        <v>3</v>
      </c>
      <c r="H113">
        <v>1.17685000896453</v>
      </c>
      <c r="I113">
        <v>3.20005416870161E-4</v>
      </c>
      <c r="J113" t="str">
        <f t="shared" si="11"/>
        <v>UP</v>
      </c>
      <c r="K113">
        <v>1.1731200075149499</v>
      </c>
      <c r="L113" s="1">
        <v>8.59999656677157E-5</v>
      </c>
      <c r="M113" t="str">
        <f t="shared" si="12"/>
        <v>UP</v>
      </c>
      <c r="N113">
        <v>3.7300014495848998E-3</v>
      </c>
      <c r="O113" t="str">
        <f t="shared" si="13"/>
        <v>UP</v>
      </c>
      <c r="P113">
        <v>65.529498800980093</v>
      </c>
      <c r="Q113">
        <v>0.95932020868546797</v>
      </c>
      <c r="R113" t="str">
        <f t="shared" si="14"/>
        <v>UP</v>
      </c>
      <c r="S113">
        <v>1.1759999990463199</v>
      </c>
      <c r="T113" t="str">
        <f t="shared" si="8"/>
        <v>UP</v>
      </c>
      <c r="U113">
        <v>1.1773500442504801</v>
      </c>
      <c r="V113" t="str">
        <f t="shared" si="15"/>
        <v>DOWN</v>
      </c>
      <c r="W113">
        <v>1.1772500276565501</v>
      </c>
      <c r="X113" t="str">
        <f t="shared" si="9"/>
        <v>UP</v>
      </c>
      <c r="Y113">
        <v>1.1773500442504801</v>
      </c>
      <c r="Z113" t="str">
        <f t="shared" si="10"/>
        <v>UP</v>
      </c>
      <c r="AA113">
        <v>0</v>
      </c>
      <c r="AB113">
        <v>0</v>
      </c>
      <c r="AC113">
        <v>0</v>
      </c>
      <c r="AD113">
        <v>0</v>
      </c>
    </row>
    <row r="114" spans="1:30" hidden="1" x14ac:dyDescent="0.35">
      <c r="A114" s="2">
        <v>45882</v>
      </c>
      <c r="B114" t="s">
        <v>41</v>
      </c>
      <c r="C114">
        <v>1.1768000125885001</v>
      </c>
      <c r="D114">
        <v>1.1772999763488701</v>
      </c>
      <c r="E114">
        <v>1.1768000125885001</v>
      </c>
      <c r="F114">
        <v>1.1772999763488701</v>
      </c>
      <c r="G114">
        <v>9</v>
      </c>
      <c r="H114">
        <v>1.17696001529693</v>
      </c>
      <c r="I114">
        <v>1.1000633239732701E-4</v>
      </c>
      <c r="J114" t="str">
        <f t="shared" si="11"/>
        <v>UP</v>
      </c>
      <c r="K114">
        <v>1.1732030081748901</v>
      </c>
      <c r="L114" s="1">
        <v>8.3000659942600294E-5</v>
      </c>
      <c r="M114" t="str">
        <f t="shared" si="12"/>
        <v>UP</v>
      </c>
      <c r="N114">
        <v>3.7570071220396298E-3</v>
      </c>
      <c r="O114" t="str">
        <f t="shared" si="13"/>
        <v>UP</v>
      </c>
      <c r="P114">
        <v>62.204470939363503</v>
      </c>
      <c r="Q114">
        <v>-3.3250278616165199</v>
      </c>
      <c r="R114" t="str">
        <f t="shared" si="14"/>
        <v>DOWN</v>
      </c>
      <c r="S114">
        <v>1.1769000291824301</v>
      </c>
      <c r="T114" t="str">
        <f t="shared" si="8"/>
        <v>DOWN</v>
      </c>
      <c r="U114">
        <v>1.1759999990463199</v>
      </c>
      <c r="V114" t="str">
        <f t="shared" si="15"/>
        <v>UP</v>
      </c>
      <c r="W114">
        <v>1.1774499416351301</v>
      </c>
      <c r="X114" t="str">
        <f t="shared" si="9"/>
        <v>DOWN</v>
      </c>
      <c r="Y114">
        <v>1.1772500276565501</v>
      </c>
      <c r="Z114" t="str">
        <f t="shared" si="10"/>
        <v>UP</v>
      </c>
      <c r="AA114">
        <v>0</v>
      </c>
      <c r="AB114">
        <v>0</v>
      </c>
      <c r="AC114">
        <v>0</v>
      </c>
      <c r="AD114">
        <v>0</v>
      </c>
    </row>
    <row r="115" spans="1:30" hidden="1" x14ac:dyDescent="0.35">
      <c r="A115" s="2">
        <v>45882</v>
      </c>
      <c r="B115" t="s">
        <v>34</v>
      </c>
      <c r="C115">
        <v>1.17799997329711</v>
      </c>
      <c r="D115">
        <v>1.17799997329711</v>
      </c>
      <c r="E115">
        <v>1.17799997329711</v>
      </c>
      <c r="F115">
        <v>1.17799997329711</v>
      </c>
      <c r="G115">
        <v>24</v>
      </c>
      <c r="H115">
        <v>1.1773100137710499</v>
      </c>
      <c r="I115">
        <v>3.4999847412109299E-4</v>
      </c>
      <c r="J115" t="str">
        <f t="shared" si="11"/>
        <v>UP</v>
      </c>
      <c r="K115">
        <v>1.17329700708389</v>
      </c>
      <c r="L115" s="1">
        <v>9.39989089965287E-5</v>
      </c>
      <c r="M115" t="str">
        <f t="shared" si="12"/>
        <v>UP</v>
      </c>
      <c r="N115">
        <v>4.0130066871642001E-3</v>
      </c>
      <c r="O115" t="str">
        <f t="shared" si="13"/>
        <v>UP</v>
      </c>
      <c r="P115">
        <v>66.230253069665096</v>
      </c>
      <c r="Q115">
        <v>4.0257821303015699</v>
      </c>
      <c r="R115" t="str">
        <f t="shared" si="14"/>
        <v>UP</v>
      </c>
      <c r="S115">
        <v>1.1768000125885001</v>
      </c>
      <c r="T115" t="str">
        <f t="shared" si="8"/>
        <v>UP</v>
      </c>
      <c r="U115">
        <v>1.1769000291824301</v>
      </c>
      <c r="V115" t="str">
        <f t="shared" si="15"/>
        <v>UP</v>
      </c>
      <c r="W115">
        <v>1.1772999763488701</v>
      </c>
      <c r="X115" t="str">
        <f t="shared" si="9"/>
        <v>UP</v>
      </c>
      <c r="Y115">
        <v>1.1774499416351301</v>
      </c>
      <c r="Z115" t="str">
        <f t="shared" si="10"/>
        <v>UP</v>
      </c>
      <c r="AA115">
        <v>0</v>
      </c>
      <c r="AB115">
        <v>0</v>
      </c>
      <c r="AC115">
        <v>0</v>
      </c>
      <c r="AD115">
        <v>0</v>
      </c>
    </row>
    <row r="116" spans="1:30" hidden="1" x14ac:dyDescent="0.35">
      <c r="A116" s="2">
        <v>45882</v>
      </c>
      <c r="B116" t="s">
        <v>35</v>
      </c>
      <c r="C116">
        <v>1.1796499490737899</v>
      </c>
      <c r="D116">
        <v>1.1799999475479099</v>
      </c>
      <c r="E116">
        <v>1.17830002307891</v>
      </c>
      <c r="F116">
        <v>1.17830002307891</v>
      </c>
      <c r="G116">
        <v>58</v>
      </c>
      <c r="H116">
        <v>1.1777699947357101</v>
      </c>
      <c r="I116">
        <v>4.59980964660822E-4</v>
      </c>
      <c r="J116" t="str">
        <f t="shared" si="11"/>
        <v>UP</v>
      </c>
      <c r="K116">
        <v>1.1734040069580001</v>
      </c>
      <c r="L116">
        <v>1.0699987411499899E-4</v>
      </c>
      <c r="M116" t="str">
        <f t="shared" si="12"/>
        <v>UP</v>
      </c>
      <c r="N116">
        <v>4.3659877777100196E-3</v>
      </c>
      <c r="O116" t="str">
        <f t="shared" si="13"/>
        <v>UP</v>
      </c>
      <c r="P116">
        <v>70.830984080415803</v>
      </c>
      <c r="Q116">
        <v>4.6007310107506303</v>
      </c>
      <c r="R116" t="str">
        <f t="shared" si="14"/>
        <v>UP</v>
      </c>
      <c r="S116">
        <v>1.17799997329711</v>
      </c>
      <c r="T116" t="str">
        <f t="shared" si="8"/>
        <v>UP</v>
      </c>
      <c r="U116">
        <v>1.1768000125885001</v>
      </c>
      <c r="V116" t="str">
        <f t="shared" si="15"/>
        <v>UP</v>
      </c>
      <c r="W116">
        <v>1.17799997329711</v>
      </c>
      <c r="X116" t="str">
        <f t="shared" si="9"/>
        <v>UP</v>
      </c>
      <c r="Y116">
        <v>1.1772999763488701</v>
      </c>
      <c r="Z116" t="str">
        <f t="shared" si="10"/>
        <v>UP</v>
      </c>
      <c r="AA116">
        <v>0</v>
      </c>
      <c r="AB116">
        <v>0</v>
      </c>
      <c r="AC116">
        <v>0</v>
      </c>
      <c r="AD116">
        <v>0</v>
      </c>
    </row>
    <row r="117" spans="1:30" hidden="1" x14ac:dyDescent="0.35">
      <c r="A117" s="2">
        <v>45882</v>
      </c>
      <c r="B117" t="s">
        <v>36</v>
      </c>
      <c r="C117">
        <v>1.1804000139236399</v>
      </c>
      <c r="D117">
        <v>1.1807999610900799</v>
      </c>
      <c r="E117">
        <v>1.1797000169753999</v>
      </c>
      <c r="F117">
        <v>1.1797000169753999</v>
      </c>
      <c r="G117">
        <v>32</v>
      </c>
      <c r="H117">
        <v>1.1784399986267</v>
      </c>
      <c r="I117">
        <v>6.7000389099103298E-4</v>
      </c>
      <c r="J117" t="str">
        <f t="shared" si="11"/>
        <v>UP</v>
      </c>
      <c r="K117">
        <v>1.1735290074348399</v>
      </c>
      <c r="L117">
        <v>1.25000476837167E-4</v>
      </c>
      <c r="M117" t="str">
        <f t="shared" si="12"/>
        <v>UP</v>
      </c>
      <c r="N117">
        <v>4.9109911918638798E-3</v>
      </c>
      <c r="O117" t="str">
        <f t="shared" si="13"/>
        <v>UP</v>
      </c>
      <c r="P117">
        <v>72.654819947562302</v>
      </c>
      <c r="Q117">
        <v>1.82383586714657</v>
      </c>
      <c r="R117" t="str">
        <f t="shared" si="14"/>
        <v>UP</v>
      </c>
      <c r="S117">
        <v>1.17830002307891</v>
      </c>
      <c r="T117" t="str">
        <f t="shared" si="8"/>
        <v>UP</v>
      </c>
      <c r="U117">
        <v>1.17799997329711</v>
      </c>
      <c r="V117" t="str">
        <f t="shared" si="15"/>
        <v>UP</v>
      </c>
      <c r="W117">
        <v>1.1799999475479099</v>
      </c>
      <c r="X117" t="str">
        <f t="shared" si="9"/>
        <v>UP</v>
      </c>
      <c r="Y117">
        <v>1.17799997329711</v>
      </c>
      <c r="Z117" t="str">
        <f t="shared" si="10"/>
        <v>UP</v>
      </c>
      <c r="AA117">
        <v>0</v>
      </c>
      <c r="AB117">
        <v>0</v>
      </c>
      <c r="AC117">
        <v>0</v>
      </c>
      <c r="AD117">
        <v>0</v>
      </c>
    </row>
    <row r="118" spans="1:30" hidden="1" x14ac:dyDescent="0.35">
      <c r="A118" s="2">
        <v>45882</v>
      </c>
      <c r="B118" t="s">
        <v>37</v>
      </c>
      <c r="C118">
        <v>1.1814999580383301</v>
      </c>
      <c r="D118">
        <v>1.1814999580383301</v>
      </c>
      <c r="E118">
        <v>1.1807500123977599</v>
      </c>
      <c r="F118">
        <v>1.1807500123977599</v>
      </c>
      <c r="G118">
        <v>5</v>
      </c>
      <c r="H118">
        <v>1.17926998138427</v>
      </c>
      <c r="I118">
        <v>8.2998275756840302E-4</v>
      </c>
      <c r="J118" t="str">
        <f t="shared" si="11"/>
        <v>UP</v>
      </c>
      <c r="K118">
        <v>1.17367600679397</v>
      </c>
      <c r="L118">
        <v>1.46999359130761E-4</v>
      </c>
      <c r="M118" t="str">
        <f t="shared" si="12"/>
        <v>UP</v>
      </c>
      <c r="N118">
        <v>5.5939745903015297E-3</v>
      </c>
      <c r="O118" t="str">
        <f t="shared" si="13"/>
        <v>UP</v>
      </c>
      <c r="P118">
        <v>75.112378418022402</v>
      </c>
      <c r="Q118">
        <v>2.4575584704600399</v>
      </c>
      <c r="R118" t="str">
        <f t="shared" si="14"/>
        <v>UP</v>
      </c>
      <c r="S118">
        <v>1.1797000169753999</v>
      </c>
      <c r="T118" t="str">
        <f t="shared" si="8"/>
        <v>UP</v>
      </c>
      <c r="U118">
        <v>1.17830002307891</v>
      </c>
      <c r="V118" t="str">
        <f t="shared" si="15"/>
        <v>UP</v>
      </c>
      <c r="W118">
        <v>1.1807999610900799</v>
      </c>
      <c r="X118" t="str">
        <f t="shared" si="9"/>
        <v>UP</v>
      </c>
      <c r="Y118">
        <v>1.1799999475479099</v>
      </c>
      <c r="Z118" t="str">
        <f t="shared" si="10"/>
        <v>UP</v>
      </c>
      <c r="AA118">
        <v>1</v>
      </c>
      <c r="AB118">
        <v>0</v>
      </c>
      <c r="AC118">
        <v>1</v>
      </c>
      <c r="AD118">
        <v>0</v>
      </c>
    </row>
    <row r="119" spans="1:30" hidden="1" x14ac:dyDescent="0.35">
      <c r="A119" s="2">
        <v>45882</v>
      </c>
      <c r="B119" t="s">
        <v>20</v>
      </c>
      <c r="C119">
        <v>1.1808500289916899</v>
      </c>
      <c r="D119">
        <v>1.1814999580383301</v>
      </c>
      <c r="E119">
        <v>1.1807999610900799</v>
      </c>
      <c r="F119">
        <v>1.1814999580383301</v>
      </c>
      <c r="G119">
        <v>14</v>
      </c>
      <c r="H119">
        <v>1.1800799846649099</v>
      </c>
      <c r="I119">
        <v>8.1000328063973704E-4</v>
      </c>
      <c r="J119" t="str">
        <f t="shared" si="11"/>
        <v>UP</v>
      </c>
      <c r="K119">
        <v>1.1737900066375699</v>
      </c>
      <c r="L119">
        <v>1.1399984359750001E-4</v>
      </c>
      <c r="M119" t="str">
        <f t="shared" si="12"/>
        <v>UP</v>
      </c>
      <c r="N119">
        <v>6.28997802734376E-3</v>
      </c>
      <c r="O119" t="str">
        <f t="shared" si="13"/>
        <v>UP</v>
      </c>
      <c r="P119">
        <v>71.049232025092493</v>
      </c>
      <c r="Q119">
        <v>-4.0631463929298199</v>
      </c>
      <c r="R119" t="str">
        <f t="shared" si="14"/>
        <v>DOWN</v>
      </c>
      <c r="S119">
        <v>1.1807500123977599</v>
      </c>
      <c r="T119" t="str">
        <f t="shared" si="8"/>
        <v>UP</v>
      </c>
      <c r="U119">
        <v>1.1797000169753999</v>
      </c>
      <c r="V119" t="str">
        <f t="shared" si="15"/>
        <v>UP</v>
      </c>
      <c r="W119">
        <v>1.1814999580383301</v>
      </c>
      <c r="X119" t="str">
        <f t="shared" si="9"/>
        <v>DOWN</v>
      </c>
      <c r="Y119">
        <v>1.1807999610900799</v>
      </c>
      <c r="Z119" t="str">
        <f t="shared" si="10"/>
        <v>UP</v>
      </c>
      <c r="AA119">
        <v>1</v>
      </c>
      <c r="AB119">
        <v>0</v>
      </c>
      <c r="AC119">
        <v>0</v>
      </c>
      <c r="AD119">
        <v>0</v>
      </c>
    </row>
    <row r="120" spans="1:30" hidden="1" x14ac:dyDescent="0.35">
      <c r="A120" s="2">
        <v>45882</v>
      </c>
      <c r="B120" t="s">
        <v>21</v>
      </c>
      <c r="C120">
        <v>1.1807500123977599</v>
      </c>
      <c r="D120">
        <v>1.1807500123977599</v>
      </c>
      <c r="E120">
        <v>1.1799000501632599</v>
      </c>
      <c r="F120">
        <v>1.1805000305175699</v>
      </c>
      <c r="G120">
        <v>27</v>
      </c>
      <c r="H120">
        <v>1.1806299924850401</v>
      </c>
      <c r="I120">
        <v>5.5000782012926098E-4</v>
      </c>
      <c r="J120" t="str">
        <f t="shared" si="11"/>
        <v>UP</v>
      </c>
      <c r="K120">
        <v>1.1739130067825301</v>
      </c>
      <c r="L120">
        <v>1.23000144958362E-4</v>
      </c>
      <c r="M120" t="str">
        <f t="shared" si="12"/>
        <v>UP</v>
      </c>
      <c r="N120">
        <v>6.7169857025146601E-3</v>
      </c>
      <c r="O120" t="str">
        <f t="shared" si="13"/>
        <v>UP</v>
      </c>
      <c r="P120">
        <v>70.417947540455799</v>
      </c>
      <c r="Q120">
        <v>-0.63128448463675102</v>
      </c>
      <c r="R120" t="str">
        <f t="shared" si="14"/>
        <v>DOWN</v>
      </c>
      <c r="S120">
        <v>1.1807999610900799</v>
      </c>
      <c r="T120" t="str">
        <f t="shared" si="8"/>
        <v>DOWN</v>
      </c>
      <c r="U120">
        <v>1.1807500123977599</v>
      </c>
      <c r="V120" t="str">
        <f t="shared" si="15"/>
        <v>DOWN</v>
      </c>
      <c r="W120">
        <v>1.1814999580383301</v>
      </c>
      <c r="X120" t="str">
        <f t="shared" si="9"/>
        <v>DOWN</v>
      </c>
      <c r="Y120">
        <v>1.1814999580383301</v>
      </c>
      <c r="Z120" t="str">
        <f t="shared" si="10"/>
        <v>DOWN</v>
      </c>
      <c r="AA120">
        <v>0</v>
      </c>
      <c r="AB120">
        <v>0</v>
      </c>
      <c r="AC120">
        <v>0</v>
      </c>
      <c r="AD120">
        <v>0</v>
      </c>
    </row>
    <row r="121" spans="1:30" hidden="1" x14ac:dyDescent="0.35">
      <c r="A121" s="2">
        <v>45882</v>
      </c>
      <c r="B121" t="s">
        <v>22</v>
      </c>
      <c r="C121">
        <v>1.17900002002716</v>
      </c>
      <c r="D121">
        <v>1.1809999942779501</v>
      </c>
      <c r="E121">
        <v>1.17894995212554</v>
      </c>
      <c r="F121">
        <v>1.1808500289916899</v>
      </c>
      <c r="G121">
        <v>48</v>
      </c>
      <c r="H121">
        <v>1.1805000066757201</v>
      </c>
      <c r="I121">
        <v>-1.29985809325994E-4</v>
      </c>
      <c r="J121" t="str">
        <f t="shared" si="11"/>
        <v>DOWN</v>
      </c>
      <c r="K121">
        <v>1.1740010070800699</v>
      </c>
      <c r="L121" s="1">
        <v>8.8000297546519905E-5</v>
      </c>
      <c r="M121" t="str">
        <f t="shared" si="12"/>
        <v>UP</v>
      </c>
      <c r="N121">
        <v>6.4989995956421503E-3</v>
      </c>
      <c r="O121" t="str">
        <f t="shared" si="13"/>
        <v>UP</v>
      </c>
      <c r="P121">
        <v>60.319148942228402</v>
      </c>
      <c r="Q121">
        <v>-10.0987985982274</v>
      </c>
      <c r="R121" t="str">
        <f t="shared" si="14"/>
        <v>DOWN</v>
      </c>
      <c r="S121">
        <v>1.1799000501632599</v>
      </c>
      <c r="T121" t="str">
        <f t="shared" si="8"/>
        <v>DOWN</v>
      </c>
      <c r="U121">
        <v>1.1807999610900799</v>
      </c>
      <c r="V121" t="str">
        <f t="shared" si="15"/>
        <v>DOWN</v>
      </c>
      <c r="W121">
        <v>1.1807500123977599</v>
      </c>
      <c r="X121" t="str">
        <f t="shared" si="9"/>
        <v>UP</v>
      </c>
      <c r="Y121">
        <v>1.1814999580383301</v>
      </c>
      <c r="Z121" t="str">
        <f t="shared" si="10"/>
        <v>DOWN</v>
      </c>
      <c r="AA121">
        <v>0</v>
      </c>
      <c r="AB121">
        <v>0</v>
      </c>
      <c r="AC121">
        <v>0</v>
      </c>
      <c r="AD121">
        <v>0</v>
      </c>
    </row>
    <row r="122" spans="1:30" hidden="1" x14ac:dyDescent="0.35">
      <c r="A122" s="2">
        <v>45882</v>
      </c>
      <c r="B122" t="s">
        <v>23</v>
      </c>
      <c r="C122">
        <v>1.17910003662109</v>
      </c>
      <c r="D122">
        <v>1.17920005321502</v>
      </c>
      <c r="E122">
        <v>1.17820000648498</v>
      </c>
      <c r="F122">
        <v>1.17865002155303</v>
      </c>
      <c r="G122">
        <v>51</v>
      </c>
      <c r="H122">
        <v>1.18024001121521</v>
      </c>
      <c r="I122">
        <v>-2.5999546051025298E-4</v>
      </c>
      <c r="J122" t="str">
        <f t="shared" si="11"/>
        <v>DOWN</v>
      </c>
      <c r="K122">
        <v>1.1741150069236701</v>
      </c>
      <c r="L122">
        <v>1.13999843597278E-4</v>
      </c>
      <c r="M122" t="str">
        <f t="shared" si="12"/>
        <v>UP</v>
      </c>
      <c r="N122">
        <v>6.1250042915346097E-3</v>
      </c>
      <c r="O122" t="str">
        <f t="shared" si="13"/>
        <v>UP</v>
      </c>
      <c r="P122">
        <v>60.666342191529502</v>
      </c>
      <c r="Q122">
        <v>0.34719324930113499</v>
      </c>
      <c r="R122" t="str">
        <f t="shared" si="14"/>
        <v>UP</v>
      </c>
      <c r="S122">
        <v>1.17894995212554</v>
      </c>
      <c r="T122" t="str">
        <f t="shared" si="8"/>
        <v>DOWN</v>
      </c>
      <c r="U122">
        <v>1.1799000501632599</v>
      </c>
      <c r="V122" t="str">
        <f t="shared" si="15"/>
        <v>DOWN</v>
      </c>
      <c r="W122">
        <v>1.1809999942779501</v>
      </c>
      <c r="X122" t="str">
        <f t="shared" si="9"/>
        <v>DOWN</v>
      </c>
      <c r="Y122">
        <v>1.1807500123977599</v>
      </c>
      <c r="Z122" t="str">
        <f t="shared" si="10"/>
        <v>DOWN</v>
      </c>
      <c r="AA122">
        <v>0</v>
      </c>
      <c r="AB122">
        <v>0</v>
      </c>
      <c r="AC122">
        <v>0</v>
      </c>
      <c r="AD122">
        <v>0</v>
      </c>
    </row>
    <row r="123" spans="1:30" hidden="1" x14ac:dyDescent="0.35">
      <c r="A123" s="2">
        <v>45882</v>
      </c>
      <c r="B123" t="s">
        <v>24</v>
      </c>
      <c r="C123">
        <v>1.1808500289916899</v>
      </c>
      <c r="D123">
        <v>1.1808500289916899</v>
      </c>
      <c r="E123">
        <v>1.1793999671936</v>
      </c>
      <c r="F123">
        <v>1.1793999671936</v>
      </c>
      <c r="G123">
        <v>25</v>
      </c>
      <c r="H123">
        <v>1.1801100254058801</v>
      </c>
      <c r="I123">
        <v>-1.2998580932621601E-4</v>
      </c>
      <c r="J123" t="str">
        <f t="shared" si="11"/>
        <v>DOWN</v>
      </c>
      <c r="K123">
        <v>1.1742360067367501</v>
      </c>
      <c r="L123">
        <v>1.2099981308000201E-4</v>
      </c>
      <c r="M123" t="str">
        <f t="shared" si="12"/>
        <v>UP</v>
      </c>
      <c r="N123">
        <v>5.8740186691284002E-3</v>
      </c>
      <c r="O123" t="str">
        <f t="shared" si="13"/>
        <v>UP</v>
      </c>
      <c r="P123">
        <v>66.233407421837498</v>
      </c>
      <c r="Q123">
        <v>5.5670652303079597</v>
      </c>
      <c r="R123" t="str">
        <f t="shared" si="14"/>
        <v>UP</v>
      </c>
      <c r="S123">
        <v>1.17820000648498</v>
      </c>
      <c r="T123" t="str">
        <f t="shared" si="8"/>
        <v>UP</v>
      </c>
      <c r="U123">
        <v>1.17894995212554</v>
      </c>
      <c r="V123" t="str">
        <f t="shared" si="15"/>
        <v>UP</v>
      </c>
      <c r="W123">
        <v>1.17920005321502</v>
      </c>
      <c r="X123" t="str">
        <f t="shared" si="9"/>
        <v>UP</v>
      </c>
      <c r="Y123">
        <v>1.1809999942779501</v>
      </c>
      <c r="Z123" t="str">
        <f t="shared" si="10"/>
        <v>DOWN</v>
      </c>
      <c r="AA123">
        <v>0</v>
      </c>
      <c r="AB123">
        <v>0</v>
      </c>
      <c r="AC123">
        <v>0</v>
      </c>
      <c r="AD123">
        <v>0</v>
      </c>
    </row>
    <row r="124" spans="1:30" hidden="1" x14ac:dyDescent="0.35">
      <c r="A124" s="2">
        <v>45882</v>
      </c>
      <c r="B124" t="s">
        <v>25</v>
      </c>
      <c r="C124">
        <v>1.1811499595642001</v>
      </c>
      <c r="D124">
        <v>1.1811499595642001</v>
      </c>
      <c r="E124">
        <v>1.1799999475479099</v>
      </c>
      <c r="F124">
        <v>1.1807999610900799</v>
      </c>
      <c r="G124">
        <v>0</v>
      </c>
      <c r="H124">
        <v>1.1801700115203799</v>
      </c>
      <c r="I124" s="1">
        <v>5.99861145018643E-5</v>
      </c>
      <c r="J124" t="str">
        <f t="shared" si="11"/>
        <v>UP</v>
      </c>
      <c r="K124">
        <v>1.1743810057640001</v>
      </c>
      <c r="L124">
        <v>1.4499902725217899E-4</v>
      </c>
      <c r="M124" t="str">
        <f t="shared" si="12"/>
        <v>UP</v>
      </c>
      <c r="N124">
        <v>5.7890057563780798E-3</v>
      </c>
      <c r="O124" t="str">
        <f t="shared" si="13"/>
        <v>UP</v>
      </c>
      <c r="P124">
        <v>67.093051837788806</v>
      </c>
      <c r="Q124">
        <v>0.85964441595132202</v>
      </c>
      <c r="R124" t="str">
        <f t="shared" si="14"/>
        <v>UP</v>
      </c>
      <c r="S124">
        <v>1.1793999671936</v>
      </c>
      <c r="T124" t="str">
        <f t="shared" si="8"/>
        <v>UP</v>
      </c>
      <c r="U124">
        <v>1.17820000648498</v>
      </c>
      <c r="V124" t="str">
        <f t="shared" si="15"/>
        <v>UP</v>
      </c>
      <c r="W124">
        <v>1.1808500289916899</v>
      </c>
      <c r="X124" t="str">
        <f t="shared" si="9"/>
        <v>UP</v>
      </c>
      <c r="Y124">
        <v>1.17920005321502</v>
      </c>
      <c r="Z124" t="str">
        <f t="shared" si="10"/>
        <v>UP</v>
      </c>
      <c r="AA124">
        <v>0</v>
      </c>
      <c r="AB124">
        <v>0</v>
      </c>
      <c r="AC124">
        <v>0</v>
      </c>
      <c r="AD124">
        <v>0</v>
      </c>
    </row>
    <row r="125" spans="1:30" hidden="1" x14ac:dyDescent="0.35">
      <c r="A125" s="2">
        <v>45882</v>
      </c>
      <c r="B125" t="s">
        <v>26</v>
      </c>
      <c r="C125">
        <v>1.1800500154495199</v>
      </c>
      <c r="D125">
        <v>1.1802999973297099</v>
      </c>
      <c r="E125">
        <v>1.1799999475479099</v>
      </c>
      <c r="F125">
        <v>1.1801500320434499</v>
      </c>
      <c r="G125">
        <v>362</v>
      </c>
      <c r="H125">
        <v>1.1800300121307301</v>
      </c>
      <c r="I125">
        <v>-1.3999938964848099E-4</v>
      </c>
      <c r="J125" t="str">
        <f t="shared" si="11"/>
        <v>DOWN</v>
      </c>
      <c r="K125">
        <v>1.17449100494384</v>
      </c>
      <c r="L125">
        <v>1.0999917984011399E-4</v>
      </c>
      <c r="M125" t="str">
        <f t="shared" si="12"/>
        <v>UP</v>
      </c>
      <c r="N125">
        <v>5.5390071868894799E-3</v>
      </c>
      <c r="O125" t="str">
        <f t="shared" si="13"/>
        <v>UP</v>
      </c>
      <c r="P125">
        <v>60.963405789029402</v>
      </c>
      <c r="Q125">
        <v>-6.1296460487593896</v>
      </c>
      <c r="R125" t="str">
        <f t="shared" si="14"/>
        <v>DOWN</v>
      </c>
      <c r="S125">
        <v>1.1799999475479099</v>
      </c>
      <c r="T125" t="str">
        <f t="shared" si="8"/>
        <v>UP</v>
      </c>
      <c r="U125">
        <v>1.1793999671936</v>
      </c>
      <c r="V125" t="str">
        <f t="shared" si="15"/>
        <v>UP</v>
      </c>
      <c r="W125">
        <v>1.1811499595642001</v>
      </c>
      <c r="X125" t="str">
        <f t="shared" si="9"/>
        <v>DOWN</v>
      </c>
      <c r="Y125">
        <v>1.1808500289916899</v>
      </c>
      <c r="Z125" t="str">
        <f t="shared" si="10"/>
        <v>DOWN</v>
      </c>
      <c r="AA125">
        <v>0</v>
      </c>
      <c r="AB125">
        <v>0</v>
      </c>
      <c r="AC125">
        <v>0</v>
      </c>
      <c r="AD125">
        <v>0</v>
      </c>
    </row>
    <row r="126" spans="1:30" hidden="1" x14ac:dyDescent="0.35">
      <c r="A126" s="2">
        <v>45882</v>
      </c>
      <c r="B126" t="s">
        <v>27</v>
      </c>
      <c r="C126">
        <v>1.17935001850128</v>
      </c>
      <c r="D126">
        <v>1.1798000335693299</v>
      </c>
      <c r="E126">
        <v>1.17935001850128</v>
      </c>
      <c r="F126">
        <v>1.17960000038146</v>
      </c>
      <c r="G126">
        <v>30</v>
      </c>
      <c r="H126">
        <v>1.18010001182556</v>
      </c>
      <c r="I126" s="1">
        <v>6.9999694824351895E-5</v>
      </c>
      <c r="J126" t="str">
        <f t="shared" si="11"/>
        <v>UP</v>
      </c>
      <c r="K126">
        <v>1.17455400466918</v>
      </c>
      <c r="L126" s="1">
        <v>6.2999725341628094E-5</v>
      </c>
      <c r="M126" t="str">
        <f t="shared" si="12"/>
        <v>UP</v>
      </c>
      <c r="N126">
        <v>5.5460071563722098E-3</v>
      </c>
      <c r="O126" t="str">
        <f t="shared" si="13"/>
        <v>UP</v>
      </c>
      <c r="P126">
        <v>57.371193885973803</v>
      </c>
      <c r="Q126">
        <v>-3.5922119030555502</v>
      </c>
      <c r="R126" t="str">
        <f t="shared" si="14"/>
        <v>DOWN</v>
      </c>
      <c r="S126">
        <v>1.1799999475479099</v>
      </c>
      <c r="T126" t="str">
        <f t="shared" si="8"/>
        <v>DOWN</v>
      </c>
      <c r="U126">
        <v>1.1799999475479099</v>
      </c>
      <c r="V126" t="str">
        <f t="shared" si="15"/>
        <v>DOWN</v>
      </c>
      <c r="W126">
        <v>1.1802999973297099</v>
      </c>
      <c r="X126" t="str">
        <f t="shared" si="9"/>
        <v>DOWN</v>
      </c>
      <c r="Y126">
        <v>1.1811499595642001</v>
      </c>
      <c r="Z126" t="str">
        <f t="shared" si="10"/>
        <v>DOWN</v>
      </c>
      <c r="AA126">
        <v>0</v>
      </c>
      <c r="AB126">
        <v>0</v>
      </c>
      <c r="AC126">
        <v>0</v>
      </c>
      <c r="AD126">
        <v>0</v>
      </c>
    </row>
    <row r="127" spans="1:30" hidden="1" x14ac:dyDescent="0.35">
      <c r="A127" s="2">
        <v>45882</v>
      </c>
      <c r="B127" t="s">
        <v>38</v>
      </c>
      <c r="C127">
        <v>1.17865002155303</v>
      </c>
      <c r="D127">
        <v>1.17890000343322</v>
      </c>
      <c r="E127">
        <v>1.17840003967285</v>
      </c>
      <c r="F127">
        <v>1.17890000343322</v>
      </c>
      <c r="G127">
        <v>9</v>
      </c>
      <c r="H127">
        <v>1.1800100088119501</v>
      </c>
      <c r="I127" s="1">
        <v>-9.0003013610839803E-5</v>
      </c>
      <c r="J127" t="str">
        <f t="shared" si="11"/>
        <v>DOWN</v>
      </c>
      <c r="K127">
        <v>1.1746050047874399</v>
      </c>
      <c r="L127" s="1">
        <v>5.1000118255650701E-5</v>
      </c>
      <c r="M127" t="str">
        <f t="shared" si="12"/>
        <v>UP</v>
      </c>
      <c r="N127">
        <v>5.4050040245057201E-3</v>
      </c>
      <c r="O127" t="str">
        <f t="shared" si="13"/>
        <v>UP</v>
      </c>
      <c r="P127">
        <v>53.9478424151688</v>
      </c>
      <c r="Q127">
        <v>-3.4233514708050499</v>
      </c>
      <c r="R127" t="str">
        <f t="shared" si="14"/>
        <v>DOWN</v>
      </c>
      <c r="S127">
        <v>1.17935001850128</v>
      </c>
      <c r="T127" t="str">
        <f t="shared" si="8"/>
        <v>DOWN</v>
      </c>
      <c r="U127">
        <v>1.1799999475479099</v>
      </c>
      <c r="V127" t="str">
        <f t="shared" si="15"/>
        <v>DOWN</v>
      </c>
      <c r="W127">
        <v>1.1798000335693299</v>
      </c>
      <c r="X127" t="str">
        <f t="shared" si="9"/>
        <v>DOWN</v>
      </c>
      <c r="Y127">
        <v>1.1802999973297099</v>
      </c>
      <c r="Z127" t="str">
        <f t="shared" si="10"/>
        <v>DOWN</v>
      </c>
      <c r="AA127">
        <v>0</v>
      </c>
      <c r="AB127">
        <v>0</v>
      </c>
      <c r="AC127">
        <v>0</v>
      </c>
      <c r="AD127">
        <v>0</v>
      </c>
    </row>
    <row r="128" spans="1:30" hidden="1" x14ac:dyDescent="0.35">
      <c r="A128" s="2">
        <v>45882</v>
      </c>
      <c r="B128" t="s">
        <v>28</v>
      </c>
      <c r="C128">
        <v>1.17869997024536</v>
      </c>
      <c r="D128">
        <v>1.17920005321502</v>
      </c>
      <c r="E128">
        <v>1.17859995365142</v>
      </c>
      <c r="F128">
        <v>1.17865002155303</v>
      </c>
      <c r="G128">
        <v>75</v>
      </c>
      <c r="H128">
        <v>1.1795799970626799</v>
      </c>
      <c r="I128">
        <v>-4.3001174926771103E-4</v>
      </c>
      <c r="J128" t="str">
        <f t="shared" si="11"/>
        <v>DOWN</v>
      </c>
      <c r="K128">
        <v>1.1746660041809001</v>
      </c>
      <c r="L128" s="1">
        <v>6.0999393463267898E-5</v>
      </c>
      <c r="M128" t="str">
        <f t="shared" si="12"/>
        <v>UP</v>
      </c>
      <c r="N128">
        <v>4.9139928817747399E-3</v>
      </c>
      <c r="O128" t="str">
        <f t="shared" si="13"/>
        <v>UP</v>
      </c>
      <c r="P128">
        <v>54.158042754832103</v>
      </c>
      <c r="Q128">
        <v>0.210200339663281</v>
      </c>
      <c r="R128" t="str">
        <f t="shared" si="14"/>
        <v>UP</v>
      </c>
      <c r="S128">
        <v>1.17840003967285</v>
      </c>
      <c r="T128" t="str">
        <f t="shared" si="8"/>
        <v>UP</v>
      </c>
      <c r="U128">
        <v>1.17935001850128</v>
      </c>
      <c r="V128" t="str">
        <f t="shared" si="15"/>
        <v>DOWN</v>
      </c>
      <c r="W128">
        <v>1.17890000343322</v>
      </c>
      <c r="X128" t="str">
        <f t="shared" si="9"/>
        <v>UP</v>
      </c>
      <c r="Y128">
        <v>1.1798000335693299</v>
      </c>
      <c r="Z128" t="str">
        <f t="shared" si="10"/>
        <v>DOWN</v>
      </c>
      <c r="AA128">
        <v>0</v>
      </c>
      <c r="AB128">
        <v>0</v>
      </c>
      <c r="AC128">
        <v>0</v>
      </c>
      <c r="AD128">
        <v>0</v>
      </c>
    </row>
    <row r="129" spans="1:30" hidden="1" x14ac:dyDescent="0.35">
      <c r="A129" s="2">
        <v>45882</v>
      </c>
      <c r="B129" t="s">
        <v>39</v>
      </c>
      <c r="C129">
        <v>1.1793999671936</v>
      </c>
      <c r="D129">
        <v>1.1793999671936</v>
      </c>
      <c r="E129">
        <v>1.1793999671936</v>
      </c>
      <c r="F129">
        <v>1.1793999671936</v>
      </c>
      <c r="G129">
        <v>0</v>
      </c>
      <c r="H129">
        <v>1.1792299985885599</v>
      </c>
      <c r="I129">
        <v>-3.4999847412109299E-4</v>
      </c>
      <c r="J129" t="str">
        <f t="shared" si="11"/>
        <v>DOWN</v>
      </c>
      <c r="K129">
        <v>1.17477000236511</v>
      </c>
      <c r="L129">
        <v>1.0399818420392301E-4</v>
      </c>
      <c r="M129" t="str">
        <f t="shared" si="12"/>
        <v>UP</v>
      </c>
      <c r="N129">
        <v>4.4599962234497196E-3</v>
      </c>
      <c r="O129" t="str">
        <f t="shared" si="13"/>
        <v>UP</v>
      </c>
      <c r="P129">
        <v>57.1124564687019</v>
      </c>
      <c r="Q129">
        <v>2.9544137138698701</v>
      </c>
      <c r="R129" t="str">
        <f t="shared" si="14"/>
        <v>UP</v>
      </c>
      <c r="S129">
        <v>1.17859995365142</v>
      </c>
      <c r="T129" t="str">
        <f t="shared" si="8"/>
        <v>UP</v>
      </c>
      <c r="U129">
        <v>1.17840003967285</v>
      </c>
      <c r="V129" t="str">
        <f t="shared" si="15"/>
        <v>UP</v>
      </c>
      <c r="W129">
        <v>1.17920005321502</v>
      </c>
      <c r="X129" t="str">
        <f t="shared" si="9"/>
        <v>UP</v>
      </c>
      <c r="Y129">
        <v>1.17890000343322</v>
      </c>
      <c r="Z129" t="str">
        <f t="shared" si="10"/>
        <v>UP</v>
      </c>
      <c r="AA129">
        <v>0</v>
      </c>
      <c r="AB129">
        <v>0</v>
      </c>
      <c r="AC129">
        <v>0</v>
      </c>
      <c r="AD129">
        <v>0</v>
      </c>
    </row>
    <row r="130" spans="1:30" hidden="1" x14ac:dyDescent="0.35">
      <c r="A130" s="2">
        <v>45882</v>
      </c>
      <c r="B130" t="s">
        <v>40</v>
      </c>
      <c r="C130">
        <v>1.17960000038146</v>
      </c>
      <c r="D130">
        <v>1.17960000038146</v>
      </c>
      <c r="E130">
        <v>1.17960000038146</v>
      </c>
      <c r="F130">
        <v>1.17960000038146</v>
      </c>
      <c r="G130">
        <v>5</v>
      </c>
      <c r="H130">
        <v>1.17913999557495</v>
      </c>
      <c r="I130" s="1">
        <v>-9.0003013610839803E-5</v>
      </c>
      <c r="J130" t="str">
        <f t="shared" si="11"/>
        <v>DOWN</v>
      </c>
      <c r="K130">
        <v>1.17490100145339</v>
      </c>
      <c r="L130">
        <v>1.30999088287397E-4</v>
      </c>
      <c r="M130" t="str">
        <f t="shared" si="12"/>
        <v>UP</v>
      </c>
      <c r="N130">
        <v>4.2389941215514801E-3</v>
      </c>
      <c r="O130" t="str">
        <f t="shared" si="13"/>
        <v>UP</v>
      </c>
      <c r="P130">
        <v>57.946522936867702</v>
      </c>
      <c r="Q130">
        <v>0.83406646816580798</v>
      </c>
      <c r="R130" t="str">
        <f t="shared" si="14"/>
        <v>UP</v>
      </c>
      <c r="S130">
        <v>1.1793999671936</v>
      </c>
      <c r="T130" t="str">
        <f t="shared" ref="T130:T193" si="16">IF((E130-S130)&lt;0,"DOWN","UP")</f>
        <v>UP</v>
      </c>
      <c r="U130">
        <v>1.17859995365142</v>
      </c>
      <c r="V130" t="str">
        <f t="shared" si="15"/>
        <v>UP</v>
      </c>
      <c r="W130">
        <v>1.1793999671936</v>
      </c>
      <c r="X130" t="str">
        <f t="shared" ref="X130:X193" si="17">IF((D130-W130)&gt;0,"UP","DOWN")</f>
        <v>UP</v>
      </c>
      <c r="Y130">
        <v>1.17920005321502</v>
      </c>
      <c r="Z130" t="str">
        <f t="shared" ref="Z130:Z193" si="18">IF((D130-Y130)&gt;0,"UP","DOWN")</f>
        <v>UP</v>
      </c>
      <c r="AA130">
        <v>0</v>
      </c>
      <c r="AB130">
        <v>0</v>
      </c>
      <c r="AC130">
        <v>0</v>
      </c>
      <c r="AD130">
        <v>0</v>
      </c>
    </row>
    <row r="131" spans="1:30" hidden="1" x14ac:dyDescent="0.35">
      <c r="A131" s="2">
        <v>45882</v>
      </c>
      <c r="B131" t="s">
        <v>42</v>
      </c>
      <c r="C131">
        <v>1.17949998378753</v>
      </c>
      <c r="D131">
        <v>1.17949998378753</v>
      </c>
      <c r="E131">
        <v>1.17949998378753</v>
      </c>
      <c r="F131">
        <v>1.17949998378753</v>
      </c>
      <c r="G131">
        <v>1</v>
      </c>
      <c r="H131">
        <v>1.1791699886322</v>
      </c>
      <c r="I131" s="1">
        <v>2.99930572511541E-5</v>
      </c>
      <c r="J131" t="str">
        <f t="shared" ref="J131:J194" si="19">IF(I131&gt;0,"UP","DOWN")</f>
        <v>UP</v>
      </c>
      <c r="K131">
        <v>1.1750530004501301</v>
      </c>
      <c r="L131">
        <v>1.5199899673468099E-4</v>
      </c>
      <c r="M131" t="str">
        <f t="shared" ref="M131:M194" si="20">IF(L131&gt;0,"UP","DOWN")</f>
        <v>UP</v>
      </c>
      <c r="N131">
        <v>4.1169881820679599E-3</v>
      </c>
      <c r="O131" t="str">
        <f t="shared" ref="O131:O194" si="21">IF(N131&gt;0,"UP","DOWN")</f>
        <v>UP</v>
      </c>
      <c r="P131">
        <v>57.346003136392497</v>
      </c>
      <c r="Q131">
        <v>-0.60051980047528197</v>
      </c>
      <c r="R131" t="str">
        <f t="shared" ref="R131:R194" si="22">IF(Q131&gt;0,"UP","DOWN")</f>
        <v>DOWN</v>
      </c>
      <c r="S131">
        <v>1.17960000038146</v>
      </c>
      <c r="T131" t="str">
        <f t="shared" si="16"/>
        <v>DOWN</v>
      </c>
      <c r="U131">
        <v>1.1793999671936</v>
      </c>
      <c r="V131" t="str">
        <f t="shared" ref="V131:V194" si="23">IF((E131-U131)&lt;0,"DOWN","UP")</f>
        <v>UP</v>
      </c>
      <c r="W131">
        <v>1.17960000038146</v>
      </c>
      <c r="X131" t="str">
        <f t="shared" si="17"/>
        <v>DOWN</v>
      </c>
      <c r="Y131">
        <v>1.1793999671936</v>
      </c>
      <c r="Z131" t="str">
        <f t="shared" si="18"/>
        <v>UP</v>
      </c>
      <c r="AA131">
        <v>0</v>
      </c>
      <c r="AB131">
        <v>0</v>
      </c>
      <c r="AC131">
        <v>0</v>
      </c>
      <c r="AD131">
        <v>0</v>
      </c>
    </row>
    <row r="132" spans="1:30" hidden="1" x14ac:dyDescent="0.35">
      <c r="A132" s="2">
        <v>45883</v>
      </c>
      <c r="B132" t="s">
        <v>29</v>
      </c>
      <c r="C132">
        <v>1.1798000335693299</v>
      </c>
      <c r="D132">
        <v>1.1799499988555899</v>
      </c>
      <c r="E132">
        <v>1.1797499656677199</v>
      </c>
      <c r="F132">
        <v>1.1799499988555899</v>
      </c>
      <c r="G132">
        <v>4</v>
      </c>
      <c r="H132">
        <v>1.17939999103546</v>
      </c>
      <c r="I132">
        <v>2.30002403259099E-4</v>
      </c>
      <c r="J132" t="str">
        <f t="shared" si="19"/>
        <v>UP</v>
      </c>
      <c r="K132">
        <v>1.1752260017395</v>
      </c>
      <c r="L132">
        <v>1.7300128936770199E-4</v>
      </c>
      <c r="M132" t="str">
        <f t="shared" si="20"/>
        <v>UP</v>
      </c>
      <c r="N132">
        <v>4.1739892959593503E-3</v>
      </c>
      <c r="O132" t="str">
        <f t="shared" si="21"/>
        <v>UP</v>
      </c>
      <c r="P132">
        <v>58.727859434730902</v>
      </c>
      <c r="Q132">
        <v>1.3818562983384499</v>
      </c>
      <c r="R132" t="str">
        <f t="shared" si="22"/>
        <v>UP</v>
      </c>
      <c r="S132">
        <v>1.17949998378753</v>
      </c>
      <c r="T132" t="str">
        <f t="shared" si="16"/>
        <v>UP</v>
      </c>
      <c r="U132">
        <v>1.17960000038146</v>
      </c>
      <c r="V132" t="str">
        <f t="shared" si="23"/>
        <v>UP</v>
      </c>
      <c r="W132">
        <v>1.17949998378753</v>
      </c>
      <c r="X132" t="str">
        <f t="shared" si="17"/>
        <v>UP</v>
      </c>
      <c r="Y132">
        <v>1.17960000038146</v>
      </c>
      <c r="Z132" t="str">
        <f t="shared" si="18"/>
        <v>UP</v>
      </c>
      <c r="AA132">
        <v>0</v>
      </c>
      <c r="AB132">
        <v>0</v>
      </c>
      <c r="AC132">
        <v>0</v>
      </c>
      <c r="AD132">
        <v>0</v>
      </c>
    </row>
    <row r="133" spans="1:30" hidden="1" x14ac:dyDescent="0.35">
      <c r="A133" s="2">
        <v>45883</v>
      </c>
      <c r="B133" t="s">
        <v>30</v>
      </c>
      <c r="C133">
        <v>1.1801500320434499</v>
      </c>
      <c r="D133">
        <v>1.1801500320434499</v>
      </c>
      <c r="E133">
        <v>1.1799999475479099</v>
      </c>
      <c r="F133">
        <v>1.1799999475479099</v>
      </c>
      <c r="G133">
        <v>10</v>
      </c>
      <c r="H133">
        <v>1.1796900033950799</v>
      </c>
      <c r="I133">
        <v>2.9001235961922901E-4</v>
      </c>
      <c r="J133" t="str">
        <f t="shared" si="19"/>
        <v>UP</v>
      </c>
      <c r="K133">
        <v>1.17540900230407</v>
      </c>
      <c r="L133">
        <v>1.8300056457509699E-4</v>
      </c>
      <c r="M133" t="str">
        <f t="shared" si="20"/>
        <v>UP</v>
      </c>
      <c r="N133">
        <v>4.2810010910034803E-3</v>
      </c>
      <c r="O133" t="str">
        <f t="shared" si="21"/>
        <v>UP</v>
      </c>
      <c r="P133">
        <v>60.341821889626999</v>
      </c>
      <c r="Q133">
        <v>1.6139624548960601</v>
      </c>
      <c r="R133" t="str">
        <f t="shared" si="22"/>
        <v>UP</v>
      </c>
      <c r="S133">
        <v>1.1797499656677199</v>
      </c>
      <c r="T133" t="str">
        <f t="shared" si="16"/>
        <v>UP</v>
      </c>
      <c r="U133">
        <v>1.17949998378753</v>
      </c>
      <c r="V133" t="str">
        <f t="shared" si="23"/>
        <v>UP</v>
      </c>
      <c r="W133">
        <v>1.1799499988555899</v>
      </c>
      <c r="X133" t="str">
        <f t="shared" si="17"/>
        <v>UP</v>
      </c>
      <c r="Y133">
        <v>1.17949998378753</v>
      </c>
      <c r="Z133" t="str">
        <f t="shared" si="18"/>
        <v>UP</v>
      </c>
      <c r="AA133">
        <v>1</v>
      </c>
      <c r="AB133">
        <v>0</v>
      </c>
      <c r="AC133">
        <v>0</v>
      </c>
      <c r="AD133">
        <v>0</v>
      </c>
    </row>
    <row r="134" spans="1:30" hidden="1" x14ac:dyDescent="0.35">
      <c r="A134" s="2">
        <v>45883</v>
      </c>
      <c r="B134" t="s">
        <v>31</v>
      </c>
      <c r="C134">
        <v>1.1788500547409</v>
      </c>
      <c r="D134">
        <v>1.17900002002716</v>
      </c>
      <c r="E134">
        <v>1.17859995365142</v>
      </c>
      <c r="F134">
        <v>1.17900002002716</v>
      </c>
      <c r="G134">
        <v>14</v>
      </c>
      <c r="H134">
        <v>1.1795800209045399</v>
      </c>
      <c r="I134">
        <v>-1.0998249053950601E-4</v>
      </c>
      <c r="J134" t="str">
        <f t="shared" si="19"/>
        <v>DOWN</v>
      </c>
      <c r="K134">
        <v>1.17561500310897</v>
      </c>
      <c r="L134">
        <v>2.06000804901185E-4</v>
      </c>
      <c r="M134" t="str">
        <f t="shared" si="20"/>
        <v>UP</v>
      </c>
      <c r="N134">
        <v>3.9650177955627896E-3</v>
      </c>
      <c r="O134" t="str">
        <f t="shared" si="21"/>
        <v>UP</v>
      </c>
      <c r="P134">
        <v>52.179874908657702</v>
      </c>
      <c r="Q134">
        <v>-8.1619469809692404</v>
      </c>
      <c r="R134" t="str">
        <f t="shared" si="22"/>
        <v>DOWN</v>
      </c>
      <c r="S134">
        <v>1.1799999475479099</v>
      </c>
      <c r="T134" t="str">
        <f t="shared" si="16"/>
        <v>DOWN</v>
      </c>
      <c r="U134">
        <v>1.1797499656677199</v>
      </c>
      <c r="V134" t="str">
        <f t="shared" si="23"/>
        <v>DOWN</v>
      </c>
      <c r="W134">
        <v>1.1801500320434499</v>
      </c>
      <c r="X134" t="str">
        <f t="shared" si="17"/>
        <v>DOWN</v>
      </c>
      <c r="Y134">
        <v>1.1799499988555899</v>
      </c>
      <c r="Z134" t="str">
        <f t="shared" si="18"/>
        <v>DOWN</v>
      </c>
      <c r="AA134">
        <v>0</v>
      </c>
      <c r="AB134">
        <v>0</v>
      </c>
      <c r="AC134">
        <v>0</v>
      </c>
      <c r="AD134">
        <v>0</v>
      </c>
    </row>
    <row r="135" spans="1:30" hidden="1" x14ac:dyDescent="0.35">
      <c r="A135" s="2">
        <v>45883</v>
      </c>
      <c r="B135" t="s">
        <v>32</v>
      </c>
      <c r="C135">
        <v>1.17900002002716</v>
      </c>
      <c r="D135">
        <v>1.17900002002716</v>
      </c>
      <c r="E135">
        <v>1.17900002002716</v>
      </c>
      <c r="F135">
        <v>1.17900002002716</v>
      </c>
      <c r="G135">
        <v>1</v>
      </c>
      <c r="H135">
        <v>1.17946002483367</v>
      </c>
      <c r="I135">
        <v>-1.19996070861772E-4</v>
      </c>
      <c r="J135" t="str">
        <f t="shared" si="19"/>
        <v>DOWN</v>
      </c>
      <c r="K135">
        <v>1.17580100297927</v>
      </c>
      <c r="L135">
        <v>1.8599987030021301E-4</v>
      </c>
      <c r="M135" t="str">
        <f t="shared" si="20"/>
        <v>UP</v>
      </c>
      <c r="N135">
        <v>3.6590218544008098E-3</v>
      </c>
      <c r="O135" t="str">
        <f t="shared" si="21"/>
        <v>UP</v>
      </c>
      <c r="P135">
        <v>52.970168442468498</v>
      </c>
      <c r="Q135">
        <v>0.79029353381074596</v>
      </c>
      <c r="R135" t="str">
        <f t="shared" si="22"/>
        <v>UP</v>
      </c>
      <c r="S135">
        <v>1.17859995365142</v>
      </c>
      <c r="T135" t="str">
        <f t="shared" si="16"/>
        <v>UP</v>
      </c>
      <c r="U135">
        <v>1.1799999475479099</v>
      </c>
      <c r="V135" t="str">
        <f t="shared" si="23"/>
        <v>DOWN</v>
      </c>
      <c r="W135">
        <v>1.17900002002716</v>
      </c>
      <c r="X135" t="str">
        <f t="shared" si="17"/>
        <v>DOWN</v>
      </c>
      <c r="Y135">
        <v>1.1801500320434499</v>
      </c>
      <c r="Z135" t="str">
        <f t="shared" si="18"/>
        <v>DOWN</v>
      </c>
      <c r="AA135">
        <v>0</v>
      </c>
      <c r="AB135">
        <v>0</v>
      </c>
      <c r="AC135">
        <v>0</v>
      </c>
      <c r="AD135">
        <v>0</v>
      </c>
    </row>
    <row r="136" spans="1:30" hidden="1" x14ac:dyDescent="0.35">
      <c r="A136" s="2">
        <v>45883</v>
      </c>
      <c r="B136" t="s">
        <v>41</v>
      </c>
      <c r="C136">
        <v>1.17900002002716</v>
      </c>
      <c r="D136">
        <v>1.17900002002716</v>
      </c>
      <c r="E136">
        <v>1.17900002002716</v>
      </c>
      <c r="F136">
        <v>1.17900002002716</v>
      </c>
      <c r="G136">
        <v>2</v>
      </c>
      <c r="H136">
        <v>1.1793600320816</v>
      </c>
      <c r="I136" s="1">
        <v>-9.9992752075284103E-5</v>
      </c>
      <c r="J136" t="str">
        <f t="shared" si="19"/>
        <v>DOWN</v>
      </c>
      <c r="K136">
        <v>1.17598400354385</v>
      </c>
      <c r="L136">
        <v>1.8300056457531901E-4</v>
      </c>
      <c r="M136" t="str">
        <f t="shared" si="20"/>
        <v>UP</v>
      </c>
      <c r="N136">
        <v>3.3760285377501999E-3</v>
      </c>
      <c r="O136" t="str">
        <f t="shared" si="21"/>
        <v>UP</v>
      </c>
      <c r="P136">
        <v>52.970168442468498</v>
      </c>
      <c r="Q136">
        <v>0</v>
      </c>
      <c r="R136" t="str">
        <f t="shared" si="22"/>
        <v>DOWN</v>
      </c>
      <c r="S136">
        <v>1.17900002002716</v>
      </c>
      <c r="T136" t="str">
        <f t="shared" si="16"/>
        <v>UP</v>
      </c>
      <c r="U136">
        <v>1.17859995365142</v>
      </c>
      <c r="V136" t="str">
        <f t="shared" si="23"/>
        <v>UP</v>
      </c>
      <c r="W136">
        <v>1.17900002002716</v>
      </c>
      <c r="X136" t="str">
        <f t="shared" si="17"/>
        <v>DOWN</v>
      </c>
      <c r="Y136">
        <v>1.17900002002716</v>
      </c>
      <c r="Z136" t="str">
        <f t="shared" si="18"/>
        <v>DOWN</v>
      </c>
      <c r="AA136">
        <v>0</v>
      </c>
      <c r="AB136">
        <v>0</v>
      </c>
      <c r="AC136">
        <v>0</v>
      </c>
      <c r="AD136">
        <v>0</v>
      </c>
    </row>
    <row r="137" spans="1:30" hidden="1" x14ac:dyDescent="0.35">
      <c r="A137" s="2">
        <v>45883</v>
      </c>
      <c r="B137" t="s">
        <v>34</v>
      </c>
      <c r="C137">
        <v>1.1773500442504801</v>
      </c>
      <c r="D137">
        <v>1.17914998531341</v>
      </c>
      <c r="E137">
        <v>1.1773500442504801</v>
      </c>
      <c r="F137">
        <v>1.17890000343322</v>
      </c>
      <c r="G137">
        <v>29</v>
      </c>
      <c r="H137">
        <v>1.17887003421783</v>
      </c>
      <c r="I137">
        <v>-4.8999786376957501E-4</v>
      </c>
      <c r="J137" t="str">
        <f t="shared" si="19"/>
        <v>DOWN</v>
      </c>
      <c r="K137">
        <v>1.17612700462341</v>
      </c>
      <c r="L137">
        <v>1.43001079559335E-4</v>
      </c>
      <c r="M137" t="str">
        <f t="shared" si="20"/>
        <v>UP</v>
      </c>
      <c r="N137">
        <v>2.7430295944212901E-3</v>
      </c>
      <c r="O137" t="str">
        <f t="shared" si="21"/>
        <v>UP</v>
      </c>
      <c r="P137">
        <v>43.7452099592347</v>
      </c>
      <c r="Q137">
        <v>-9.2249584832338094</v>
      </c>
      <c r="R137" t="str">
        <f t="shared" si="22"/>
        <v>DOWN</v>
      </c>
      <c r="S137">
        <v>1.17900002002716</v>
      </c>
      <c r="T137" t="str">
        <f t="shared" si="16"/>
        <v>DOWN</v>
      </c>
      <c r="U137">
        <v>1.17900002002716</v>
      </c>
      <c r="V137" t="str">
        <f t="shared" si="23"/>
        <v>DOWN</v>
      </c>
      <c r="W137">
        <v>1.17900002002716</v>
      </c>
      <c r="X137" t="str">
        <f t="shared" si="17"/>
        <v>UP</v>
      </c>
      <c r="Y137">
        <v>1.17900002002716</v>
      </c>
      <c r="Z137" t="str">
        <f t="shared" si="18"/>
        <v>UP</v>
      </c>
      <c r="AA137">
        <v>0</v>
      </c>
      <c r="AB137">
        <v>0</v>
      </c>
      <c r="AC137">
        <v>0</v>
      </c>
      <c r="AD137">
        <v>0</v>
      </c>
    </row>
    <row r="138" spans="1:30" hidden="1" x14ac:dyDescent="0.35">
      <c r="A138" s="2">
        <v>45883</v>
      </c>
      <c r="B138" t="s">
        <v>35</v>
      </c>
      <c r="C138">
        <v>1.1766999959945601</v>
      </c>
      <c r="D138">
        <v>1.1773500442504801</v>
      </c>
      <c r="E138">
        <v>1.1766999959945601</v>
      </c>
      <c r="F138">
        <v>1.1773500442504801</v>
      </c>
      <c r="G138">
        <v>12</v>
      </c>
      <c r="H138">
        <v>1.17818002700805</v>
      </c>
      <c r="I138">
        <v>-6.90007209777743E-4</v>
      </c>
      <c r="J138" t="str">
        <f t="shared" si="19"/>
        <v>DOWN</v>
      </c>
      <c r="K138">
        <v>1.1762710046768099</v>
      </c>
      <c r="L138">
        <v>1.4400005340564601E-4</v>
      </c>
      <c r="M138" t="str">
        <f t="shared" si="20"/>
        <v>UP</v>
      </c>
      <c r="N138">
        <v>1.9090223312379E-3</v>
      </c>
      <c r="O138" t="str">
        <f t="shared" si="21"/>
        <v>UP</v>
      </c>
      <c r="P138">
        <v>40.735279387783699</v>
      </c>
      <c r="Q138">
        <v>-3.0099305714509499</v>
      </c>
      <c r="R138" t="str">
        <f t="shared" si="22"/>
        <v>DOWN</v>
      </c>
      <c r="S138">
        <v>1.1773500442504801</v>
      </c>
      <c r="T138" t="str">
        <f t="shared" si="16"/>
        <v>DOWN</v>
      </c>
      <c r="U138">
        <v>1.17900002002716</v>
      </c>
      <c r="V138" t="str">
        <f t="shared" si="23"/>
        <v>DOWN</v>
      </c>
      <c r="W138">
        <v>1.17914998531341</v>
      </c>
      <c r="X138" t="str">
        <f t="shared" si="17"/>
        <v>DOWN</v>
      </c>
      <c r="Y138">
        <v>1.17900002002716</v>
      </c>
      <c r="Z138" t="str">
        <f t="shared" si="18"/>
        <v>DOWN</v>
      </c>
      <c r="AA138">
        <v>0</v>
      </c>
      <c r="AB138">
        <v>0</v>
      </c>
      <c r="AC138">
        <v>0</v>
      </c>
      <c r="AD138">
        <v>0</v>
      </c>
    </row>
    <row r="139" spans="1:30" hidden="1" x14ac:dyDescent="0.35">
      <c r="A139" s="2">
        <v>45883</v>
      </c>
      <c r="B139" t="s">
        <v>36</v>
      </c>
      <c r="C139">
        <v>1.1755499839782699</v>
      </c>
      <c r="D139">
        <v>1.1770000457763601</v>
      </c>
      <c r="E139">
        <v>1.1755499839782699</v>
      </c>
      <c r="F139">
        <v>1.1770000457763601</v>
      </c>
      <c r="G139">
        <v>14</v>
      </c>
      <c r="H139">
        <v>1.1775200128555201</v>
      </c>
      <c r="I139">
        <v>-6.6001415252681095E-4</v>
      </c>
      <c r="J139" t="str">
        <f t="shared" si="19"/>
        <v>DOWN</v>
      </c>
      <c r="K139">
        <v>1.17636200428009</v>
      </c>
      <c r="L139" s="1">
        <v>9.0999603271635298E-5</v>
      </c>
      <c r="M139" t="str">
        <f t="shared" si="20"/>
        <v>UP</v>
      </c>
      <c r="N139">
        <v>1.1580085754394601E-3</v>
      </c>
      <c r="O139" t="str">
        <f t="shared" si="21"/>
        <v>UP</v>
      </c>
      <c r="P139">
        <v>36.014200907459099</v>
      </c>
      <c r="Q139">
        <v>-4.7210784803246204</v>
      </c>
      <c r="R139" t="str">
        <f t="shared" si="22"/>
        <v>DOWN</v>
      </c>
      <c r="S139">
        <v>1.1766999959945601</v>
      </c>
      <c r="T139" t="str">
        <f t="shared" si="16"/>
        <v>DOWN</v>
      </c>
      <c r="U139">
        <v>1.1773500442504801</v>
      </c>
      <c r="V139" t="str">
        <f t="shared" si="23"/>
        <v>DOWN</v>
      </c>
      <c r="W139">
        <v>1.1773500442504801</v>
      </c>
      <c r="X139" t="str">
        <f t="shared" si="17"/>
        <v>DOWN</v>
      </c>
      <c r="Y139">
        <v>1.17914998531341</v>
      </c>
      <c r="Z139" t="str">
        <f t="shared" si="18"/>
        <v>DOWN</v>
      </c>
      <c r="AA139">
        <v>0</v>
      </c>
      <c r="AB139">
        <v>0</v>
      </c>
      <c r="AC139">
        <v>0</v>
      </c>
      <c r="AD139">
        <v>0</v>
      </c>
    </row>
    <row r="140" spans="1:30" hidden="1" x14ac:dyDescent="0.35">
      <c r="A140" s="2">
        <v>45883</v>
      </c>
      <c r="B140" t="s">
        <v>37</v>
      </c>
      <c r="C140">
        <v>1.1771500110626201</v>
      </c>
      <c r="D140">
        <v>1.1771500110626201</v>
      </c>
      <c r="E140">
        <v>1.1761499643325799</v>
      </c>
      <c r="F140">
        <v>1.1761499643325799</v>
      </c>
      <c r="G140">
        <v>55</v>
      </c>
      <c r="H140">
        <v>1.1771500110626201</v>
      </c>
      <c r="I140">
        <v>-3.7000179290780301E-4</v>
      </c>
      <c r="J140" t="str">
        <f t="shared" si="19"/>
        <v>DOWN</v>
      </c>
      <c r="K140">
        <v>1.17649300336837</v>
      </c>
      <c r="L140">
        <v>1.3099908828717501E-4</v>
      </c>
      <c r="M140" t="str">
        <f t="shared" si="20"/>
        <v>UP</v>
      </c>
      <c r="N140">
        <v>6.5700769424448203E-4</v>
      </c>
      <c r="O140" t="str">
        <f t="shared" si="21"/>
        <v>UP</v>
      </c>
      <c r="P140">
        <v>45.481462121119698</v>
      </c>
      <c r="Q140">
        <v>9.4672612136605991</v>
      </c>
      <c r="R140" t="str">
        <f t="shared" si="22"/>
        <v>UP</v>
      </c>
      <c r="S140">
        <v>1.1755499839782699</v>
      </c>
      <c r="T140" t="str">
        <f t="shared" si="16"/>
        <v>UP</v>
      </c>
      <c r="U140">
        <v>1.1766999959945601</v>
      </c>
      <c r="V140" t="str">
        <f t="shared" si="23"/>
        <v>DOWN</v>
      </c>
      <c r="W140">
        <v>1.1770000457763601</v>
      </c>
      <c r="X140" t="str">
        <f t="shared" si="17"/>
        <v>UP</v>
      </c>
      <c r="Y140">
        <v>1.1773500442504801</v>
      </c>
      <c r="Z140" t="str">
        <f t="shared" si="18"/>
        <v>DOWN</v>
      </c>
      <c r="AA140">
        <v>0</v>
      </c>
      <c r="AB140">
        <v>0</v>
      </c>
      <c r="AC140">
        <v>0</v>
      </c>
      <c r="AD140">
        <v>0</v>
      </c>
    </row>
    <row r="141" spans="1:30" hidden="1" x14ac:dyDescent="0.35">
      <c r="A141" s="2">
        <v>45883</v>
      </c>
      <c r="B141" t="s">
        <v>20</v>
      </c>
      <c r="C141">
        <v>1.17799997329711</v>
      </c>
      <c r="D141">
        <v>1.17799997329711</v>
      </c>
      <c r="E141">
        <v>1.1771999597549401</v>
      </c>
      <c r="F141">
        <v>1.1771999597549401</v>
      </c>
      <c r="G141">
        <v>45</v>
      </c>
      <c r="H141">
        <v>1.1769500017166099</v>
      </c>
      <c r="I141">
        <v>-2.00009346008389E-4</v>
      </c>
      <c r="J141" t="str">
        <f t="shared" si="19"/>
        <v>DOWN</v>
      </c>
      <c r="K141">
        <v>1.1766370034217799</v>
      </c>
      <c r="L141">
        <v>1.44000053405868E-4</v>
      </c>
      <c r="M141" t="str">
        <f t="shared" si="20"/>
        <v>UP</v>
      </c>
      <c r="N141">
        <v>3.1299829483022402E-4</v>
      </c>
      <c r="O141" t="str">
        <f t="shared" si="21"/>
        <v>UP</v>
      </c>
      <c r="P141">
        <v>49.736021611778902</v>
      </c>
      <c r="Q141">
        <v>4.2545594906592399</v>
      </c>
      <c r="R141" t="str">
        <f t="shared" si="22"/>
        <v>UP</v>
      </c>
      <c r="S141">
        <v>1.1761499643325799</v>
      </c>
      <c r="T141" t="str">
        <f t="shared" si="16"/>
        <v>UP</v>
      </c>
      <c r="U141">
        <v>1.1755499839782699</v>
      </c>
      <c r="V141" t="str">
        <f t="shared" si="23"/>
        <v>UP</v>
      </c>
      <c r="W141">
        <v>1.1771500110626201</v>
      </c>
      <c r="X141" t="str">
        <f t="shared" si="17"/>
        <v>UP</v>
      </c>
      <c r="Y141">
        <v>1.1770000457763601</v>
      </c>
      <c r="Z141" t="str">
        <f t="shared" si="18"/>
        <v>UP</v>
      </c>
      <c r="AA141">
        <v>0</v>
      </c>
      <c r="AB141">
        <v>0</v>
      </c>
      <c r="AC141">
        <v>0</v>
      </c>
      <c r="AD141">
        <v>0</v>
      </c>
    </row>
    <row r="142" spans="1:30" hidden="1" x14ac:dyDescent="0.35">
      <c r="A142" s="2">
        <v>45883</v>
      </c>
      <c r="B142" t="s">
        <v>22</v>
      </c>
      <c r="C142">
        <v>1.1748000383377</v>
      </c>
      <c r="D142">
        <v>1.1769000291824301</v>
      </c>
      <c r="E142">
        <v>1.17390000820159</v>
      </c>
      <c r="F142">
        <v>1.17499995231628</v>
      </c>
      <c r="G142">
        <v>0</v>
      </c>
      <c r="H142">
        <v>1.1764400005340501</v>
      </c>
      <c r="I142">
        <v>-5.1000118255606298E-4</v>
      </c>
      <c r="J142" t="str">
        <f t="shared" si="19"/>
        <v>DOWN</v>
      </c>
      <c r="K142">
        <v>1.1767020034789999</v>
      </c>
      <c r="L142" s="1">
        <v>6.5000057220432298E-5</v>
      </c>
      <c r="M142" t="str">
        <f t="shared" si="20"/>
        <v>UP</v>
      </c>
      <c r="N142">
        <v>-2.6200294494627097E-4</v>
      </c>
      <c r="O142" t="str">
        <f t="shared" si="21"/>
        <v>DOWN</v>
      </c>
      <c r="P142">
        <v>37.781842915633398</v>
      </c>
      <c r="Q142">
        <v>-11.954178696145499</v>
      </c>
      <c r="R142" t="str">
        <f t="shared" si="22"/>
        <v>DOWN</v>
      </c>
      <c r="S142">
        <v>1.1771999597549401</v>
      </c>
      <c r="T142" t="str">
        <f t="shared" si="16"/>
        <v>DOWN</v>
      </c>
      <c r="U142">
        <v>1.1761499643325799</v>
      </c>
      <c r="V142" t="str">
        <f t="shared" si="23"/>
        <v>DOWN</v>
      </c>
      <c r="W142">
        <v>1.17799997329711</v>
      </c>
      <c r="X142" t="str">
        <f t="shared" si="17"/>
        <v>DOWN</v>
      </c>
      <c r="Y142">
        <v>1.1771500110626201</v>
      </c>
      <c r="Z142" t="str">
        <f t="shared" si="18"/>
        <v>DOWN</v>
      </c>
      <c r="AA142">
        <v>0</v>
      </c>
      <c r="AB142">
        <v>0</v>
      </c>
      <c r="AC142">
        <v>0</v>
      </c>
      <c r="AD142">
        <v>0</v>
      </c>
    </row>
    <row r="143" spans="1:30" hidden="1" x14ac:dyDescent="0.35">
      <c r="A143" s="2">
        <v>45883</v>
      </c>
      <c r="B143" t="s">
        <v>23</v>
      </c>
      <c r="C143">
        <v>1.17385005950927</v>
      </c>
      <c r="D143">
        <v>1.17499995231628</v>
      </c>
      <c r="E143">
        <v>1.17385005950927</v>
      </c>
      <c r="F143">
        <v>1.1748000383377</v>
      </c>
      <c r="G143">
        <v>1762</v>
      </c>
      <c r="H143">
        <v>1.1758700132369899</v>
      </c>
      <c r="I143">
        <v>-5.6998729705814901E-4</v>
      </c>
      <c r="J143" t="str">
        <f t="shared" si="19"/>
        <v>DOWN</v>
      </c>
      <c r="K143">
        <v>1.17675400495529</v>
      </c>
      <c r="L143" s="1">
        <v>5.2001476287921699E-5</v>
      </c>
      <c r="M143" t="str">
        <f t="shared" si="20"/>
        <v>UP</v>
      </c>
      <c r="N143">
        <v>-8.8399171829234204E-4</v>
      </c>
      <c r="O143" t="str">
        <f t="shared" si="21"/>
        <v>DOWN</v>
      </c>
      <c r="P143">
        <v>35.085738074591099</v>
      </c>
      <c r="Q143">
        <v>-2.6961048410422301</v>
      </c>
      <c r="R143" t="str">
        <f t="shared" si="22"/>
        <v>DOWN</v>
      </c>
      <c r="S143">
        <v>1.17390000820159</v>
      </c>
      <c r="T143" t="str">
        <f t="shared" si="16"/>
        <v>DOWN</v>
      </c>
      <c r="U143">
        <v>1.1771999597549401</v>
      </c>
      <c r="V143" t="str">
        <f t="shared" si="23"/>
        <v>DOWN</v>
      </c>
      <c r="W143">
        <v>1.1769000291824301</v>
      </c>
      <c r="X143" t="str">
        <f t="shared" si="17"/>
        <v>DOWN</v>
      </c>
      <c r="Y143">
        <v>1.17799997329711</v>
      </c>
      <c r="Z143" t="str">
        <f t="shared" si="18"/>
        <v>DOWN</v>
      </c>
      <c r="AA143">
        <v>0</v>
      </c>
      <c r="AB143">
        <v>0</v>
      </c>
      <c r="AC143">
        <v>0</v>
      </c>
      <c r="AD143">
        <v>0</v>
      </c>
    </row>
    <row r="144" spans="1:30" hidden="1" x14ac:dyDescent="0.35">
      <c r="A144" s="2">
        <v>45883</v>
      </c>
      <c r="B144" t="s">
        <v>24</v>
      </c>
      <c r="C144">
        <v>1.17490005493164</v>
      </c>
      <c r="D144">
        <v>1.17490005493164</v>
      </c>
      <c r="E144">
        <v>1.1728999614715501</v>
      </c>
      <c r="F144">
        <v>1.17359995841979</v>
      </c>
      <c r="G144">
        <v>70</v>
      </c>
      <c r="H144">
        <v>1.1757400274276699</v>
      </c>
      <c r="I144">
        <v>-1.2998580932621601E-4</v>
      </c>
      <c r="J144" t="str">
        <f t="shared" si="19"/>
        <v>DOWN</v>
      </c>
      <c r="K144">
        <v>1.17682800531387</v>
      </c>
      <c r="L144" s="1">
        <v>7.4000358581516296E-5</v>
      </c>
      <c r="M144" t="str">
        <f t="shared" si="20"/>
        <v>UP</v>
      </c>
      <c r="N144">
        <v>-1.0879778862000701E-3</v>
      </c>
      <c r="O144" t="str">
        <f t="shared" si="21"/>
        <v>DOWN</v>
      </c>
      <c r="P144">
        <v>40.167873558778197</v>
      </c>
      <c r="Q144">
        <v>5.0821354841870798</v>
      </c>
      <c r="R144" t="str">
        <f t="shared" si="22"/>
        <v>UP</v>
      </c>
      <c r="S144">
        <v>1.17385005950927</v>
      </c>
      <c r="T144" t="str">
        <f t="shared" si="16"/>
        <v>DOWN</v>
      </c>
      <c r="U144">
        <v>1.17390000820159</v>
      </c>
      <c r="V144" t="str">
        <f t="shared" si="23"/>
        <v>DOWN</v>
      </c>
      <c r="W144">
        <v>1.17499995231628</v>
      </c>
      <c r="X144" t="str">
        <f t="shared" si="17"/>
        <v>DOWN</v>
      </c>
      <c r="Y144">
        <v>1.1769000291824301</v>
      </c>
      <c r="Z144" t="str">
        <f t="shared" si="18"/>
        <v>DOWN</v>
      </c>
      <c r="AA144">
        <v>0</v>
      </c>
      <c r="AB144">
        <v>0</v>
      </c>
      <c r="AC144">
        <v>0</v>
      </c>
      <c r="AD144">
        <v>0</v>
      </c>
    </row>
    <row r="145" spans="1:30" hidden="1" x14ac:dyDescent="0.35">
      <c r="A145" s="2">
        <v>45883</v>
      </c>
      <c r="B145" t="s">
        <v>25</v>
      </c>
      <c r="C145">
        <v>1.1728500127792301</v>
      </c>
      <c r="D145">
        <v>1.17425000667572</v>
      </c>
      <c r="E145">
        <v>1.1725000143051101</v>
      </c>
      <c r="F145">
        <v>1.17410004138946</v>
      </c>
      <c r="G145">
        <v>136</v>
      </c>
      <c r="H145">
        <v>1.1748800277709901</v>
      </c>
      <c r="I145">
        <v>-8.5999965667715695E-4</v>
      </c>
      <c r="J145" t="str">
        <f t="shared" si="19"/>
        <v>DOWN</v>
      </c>
      <c r="K145">
        <v>1.17685300588607</v>
      </c>
      <c r="L145" s="1">
        <v>2.5000572204447701E-5</v>
      </c>
      <c r="M145" t="str">
        <f t="shared" si="20"/>
        <v>UP</v>
      </c>
      <c r="N145">
        <v>-1.9729781150816801E-3</v>
      </c>
      <c r="O145" t="str">
        <f t="shared" si="21"/>
        <v>DOWN</v>
      </c>
      <c r="P145">
        <v>34.490295666104501</v>
      </c>
      <c r="Q145">
        <v>-5.6775778926737397</v>
      </c>
      <c r="R145" t="str">
        <f t="shared" si="22"/>
        <v>DOWN</v>
      </c>
      <c r="S145">
        <v>1.1728999614715501</v>
      </c>
      <c r="T145" t="str">
        <f t="shared" si="16"/>
        <v>DOWN</v>
      </c>
      <c r="U145">
        <v>1.17385005950927</v>
      </c>
      <c r="V145" t="str">
        <f t="shared" si="23"/>
        <v>DOWN</v>
      </c>
      <c r="W145">
        <v>1.17490005493164</v>
      </c>
      <c r="X145" t="str">
        <f t="shared" si="17"/>
        <v>DOWN</v>
      </c>
      <c r="Y145">
        <v>1.17499995231628</v>
      </c>
      <c r="Z145" t="str">
        <f t="shared" si="18"/>
        <v>DOWN</v>
      </c>
      <c r="AA145">
        <v>0</v>
      </c>
      <c r="AB145">
        <v>0</v>
      </c>
      <c r="AC145">
        <v>0</v>
      </c>
      <c r="AD145">
        <v>0</v>
      </c>
    </row>
    <row r="146" spans="1:30" hidden="1" x14ac:dyDescent="0.35">
      <c r="A146" s="2">
        <v>45883</v>
      </c>
      <c r="B146" t="s">
        <v>26</v>
      </c>
      <c r="C146">
        <v>1.1719000339507999</v>
      </c>
      <c r="D146">
        <v>1.1730999946594201</v>
      </c>
      <c r="E146">
        <v>1.1719000339507999</v>
      </c>
      <c r="F146">
        <v>1.1727999448776201</v>
      </c>
      <c r="G146">
        <v>50</v>
      </c>
      <c r="H146">
        <v>1.1736600399017301</v>
      </c>
      <c r="I146">
        <v>-1.2199878692626901E-3</v>
      </c>
      <c r="J146" t="str">
        <f t="shared" si="19"/>
        <v>DOWN</v>
      </c>
      <c r="K146">
        <v>1.1768850064277601</v>
      </c>
      <c r="L146" s="1">
        <v>3.2000541687171503E-5</v>
      </c>
      <c r="M146" t="str">
        <f t="shared" si="20"/>
        <v>UP</v>
      </c>
      <c r="N146">
        <v>-3.2249665260315401E-3</v>
      </c>
      <c r="O146" t="str">
        <f t="shared" si="21"/>
        <v>DOWN</v>
      </c>
      <c r="P146">
        <v>32.21773696372</v>
      </c>
      <c r="Q146">
        <v>-2.2725587023845</v>
      </c>
      <c r="R146" t="str">
        <f t="shared" si="22"/>
        <v>DOWN</v>
      </c>
      <c r="S146">
        <v>1.1725000143051101</v>
      </c>
      <c r="T146" t="str">
        <f t="shared" si="16"/>
        <v>DOWN</v>
      </c>
      <c r="U146">
        <v>1.1728999614715501</v>
      </c>
      <c r="V146" t="str">
        <f t="shared" si="23"/>
        <v>DOWN</v>
      </c>
      <c r="W146">
        <v>1.17425000667572</v>
      </c>
      <c r="X146" t="str">
        <f t="shared" si="17"/>
        <v>DOWN</v>
      </c>
      <c r="Y146">
        <v>1.17490005493164</v>
      </c>
      <c r="Z146" t="str">
        <f t="shared" si="18"/>
        <v>DOWN</v>
      </c>
      <c r="AA146">
        <v>0</v>
      </c>
      <c r="AB146">
        <v>1</v>
      </c>
      <c r="AC146">
        <v>0</v>
      </c>
      <c r="AD146">
        <v>0</v>
      </c>
    </row>
    <row r="147" spans="1:30" hidden="1" x14ac:dyDescent="0.35">
      <c r="A147" s="2">
        <v>45883</v>
      </c>
      <c r="B147" t="s">
        <v>27</v>
      </c>
      <c r="C147">
        <v>1.1722999811172401</v>
      </c>
      <c r="D147">
        <v>1.1729999780654901</v>
      </c>
      <c r="E147">
        <v>1.1721999645233101</v>
      </c>
      <c r="F147">
        <v>1.1721999645233101</v>
      </c>
      <c r="G147">
        <v>0</v>
      </c>
      <c r="H147">
        <v>1.17316002845764</v>
      </c>
      <c r="I147">
        <v>-5.0001144409184096E-4</v>
      </c>
      <c r="J147" t="str">
        <f t="shared" si="19"/>
        <v>DOWN</v>
      </c>
      <c r="K147">
        <v>1.1769070053100501</v>
      </c>
      <c r="L147" s="1">
        <v>2.1998882293594499E-5</v>
      </c>
      <c r="M147" t="str">
        <f t="shared" si="20"/>
        <v>UP</v>
      </c>
      <c r="N147">
        <v>-3.7469768524169798E-3</v>
      </c>
      <c r="O147" t="str">
        <f t="shared" si="21"/>
        <v>DOWN</v>
      </c>
      <c r="P147">
        <v>34.1839184234844</v>
      </c>
      <c r="Q147">
        <v>1.96618145976442</v>
      </c>
      <c r="R147" t="str">
        <f t="shared" si="22"/>
        <v>UP</v>
      </c>
      <c r="S147">
        <v>1.1719000339507999</v>
      </c>
      <c r="T147" t="str">
        <f t="shared" si="16"/>
        <v>UP</v>
      </c>
      <c r="U147">
        <v>1.1725000143051101</v>
      </c>
      <c r="V147" t="str">
        <f t="shared" si="23"/>
        <v>DOWN</v>
      </c>
      <c r="W147">
        <v>1.1730999946594201</v>
      </c>
      <c r="X147" t="str">
        <f t="shared" si="17"/>
        <v>DOWN</v>
      </c>
      <c r="Y147">
        <v>1.17425000667572</v>
      </c>
      <c r="Z147" t="str">
        <f t="shared" si="18"/>
        <v>DOWN</v>
      </c>
      <c r="AA147">
        <v>0</v>
      </c>
      <c r="AB147">
        <v>0</v>
      </c>
      <c r="AC147">
        <v>0</v>
      </c>
      <c r="AD147">
        <v>0</v>
      </c>
    </row>
    <row r="148" spans="1:30" hidden="1" x14ac:dyDescent="0.35">
      <c r="A148" s="2">
        <v>45883</v>
      </c>
      <c r="B148" t="s">
        <v>38</v>
      </c>
      <c r="C148">
        <v>1.1727499961853001</v>
      </c>
      <c r="D148">
        <v>1.1727499961853001</v>
      </c>
      <c r="E148">
        <v>1.1727499961853001</v>
      </c>
      <c r="F148">
        <v>1.1727499961853001</v>
      </c>
      <c r="G148">
        <v>2050</v>
      </c>
      <c r="H148">
        <v>1.17294001579284</v>
      </c>
      <c r="I148">
        <v>-2.2001266479487701E-4</v>
      </c>
      <c r="J148" t="str">
        <f t="shared" si="19"/>
        <v>DOWN</v>
      </c>
      <c r="K148">
        <v>1.17695500612258</v>
      </c>
      <c r="L148" s="1">
        <v>4.8000812530535301E-5</v>
      </c>
      <c r="M148" t="str">
        <f t="shared" si="20"/>
        <v>UP</v>
      </c>
      <c r="N148">
        <v>-4.01499032974239E-3</v>
      </c>
      <c r="O148" t="str">
        <f t="shared" si="21"/>
        <v>DOWN</v>
      </c>
      <c r="P148">
        <v>36.418754522721102</v>
      </c>
      <c r="Q148">
        <v>2.2348360992366798</v>
      </c>
      <c r="R148" t="str">
        <f t="shared" si="22"/>
        <v>UP</v>
      </c>
      <c r="S148">
        <v>1.1721999645233101</v>
      </c>
      <c r="T148" t="str">
        <f t="shared" si="16"/>
        <v>UP</v>
      </c>
      <c r="U148">
        <v>1.1719000339507999</v>
      </c>
      <c r="V148" t="str">
        <f t="shared" si="23"/>
        <v>UP</v>
      </c>
      <c r="W148">
        <v>1.1729999780654901</v>
      </c>
      <c r="X148" t="str">
        <f t="shared" si="17"/>
        <v>DOWN</v>
      </c>
      <c r="Y148">
        <v>1.1730999946594201</v>
      </c>
      <c r="Z148" t="str">
        <f t="shared" si="18"/>
        <v>DOWN</v>
      </c>
      <c r="AA148">
        <v>0</v>
      </c>
      <c r="AB148">
        <v>0</v>
      </c>
      <c r="AC148">
        <v>0</v>
      </c>
      <c r="AD148">
        <v>0</v>
      </c>
    </row>
    <row r="149" spans="1:30" hidden="1" x14ac:dyDescent="0.35">
      <c r="A149" s="2">
        <v>45883</v>
      </c>
      <c r="B149" t="s">
        <v>28</v>
      </c>
      <c r="C149">
        <v>1.1732499599456701</v>
      </c>
      <c r="D149">
        <v>1.17330002784729</v>
      </c>
      <c r="E149">
        <v>1.1730500459671001</v>
      </c>
      <c r="F149">
        <v>1.1730500459671001</v>
      </c>
      <c r="G149">
        <v>0</v>
      </c>
      <c r="H149">
        <v>1.17260999679565</v>
      </c>
      <c r="I149">
        <v>-3.30018997192427E-4</v>
      </c>
      <c r="J149" t="str">
        <f t="shared" si="19"/>
        <v>DOWN</v>
      </c>
      <c r="K149">
        <v>1.17702600479125</v>
      </c>
      <c r="L149" s="1">
        <v>7.0998668670663097E-5</v>
      </c>
      <c r="M149" t="str">
        <f t="shared" si="20"/>
        <v>UP</v>
      </c>
      <c r="N149">
        <v>-4.4160079956054796E-3</v>
      </c>
      <c r="O149" t="str">
        <f t="shared" si="21"/>
        <v>DOWN</v>
      </c>
      <c r="P149">
        <v>38.900995512782103</v>
      </c>
      <c r="Q149">
        <v>2.4822409900610598</v>
      </c>
      <c r="R149" t="str">
        <f t="shared" si="22"/>
        <v>UP</v>
      </c>
      <c r="S149">
        <v>1.1727499961853001</v>
      </c>
      <c r="T149" t="str">
        <f t="shared" si="16"/>
        <v>UP</v>
      </c>
      <c r="U149">
        <v>1.1721999645233101</v>
      </c>
      <c r="V149" t="str">
        <f t="shared" si="23"/>
        <v>UP</v>
      </c>
      <c r="W149">
        <v>1.1727499961853001</v>
      </c>
      <c r="X149" t="str">
        <f t="shared" si="17"/>
        <v>UP</v>
      </c>
      <c r="Y149">
        <v>1.1729999780654901</v>
      </c>
      <c r="Z149" t="str">
        <f t="shared" si="18"/>
        <v>UP</v>
      </c>
      <c r="AA149">
        <v>0</v>
      </c>
      <c r="AB149">
        <v>0</v>
      </c>
      <c r="AC149">
        <v>0</v>
      </c>
      <c r="AD149">
        <v>0</v>
      </c>
    </row>
    <row r="150" spans="1:30" hidden="1" x14ac:dyDescent="0.35">
      <c r="A150" s="2">
        <v>45883</v>
      </c>
      <c r="B150" t="s">
        <v>39</v>
      </c>
      <c r="C150">
        <v>1.17334997653961</v>
      </c>
      <c r="D150">
        <v>1.17334997653961</v>
      </c>
      <c r="E150">
        <v>1.17334997653961</v>
      </c>
      <c r="F150">
        <v>1.17334997653961</v>
      </c>
      <c r="G150">
        <v>2069</v>
      </c>
      <c r="H150">
        <v>1.17270998954772</v>
      </c>
      <c r="I150" s="1">
        <v>9.9992752075284103E-5</v>
      </c>
      <c r="J150" t="str">
        <f t="shared" si="19"/>
        <v>UP</v>
      </c>
      <c r="K150">
        <v>1.1770930051803501</v>
      </c>
      <c r="L150" s="1">
        <v>6.7000389099236503E-5</v>
      </c>
      <c r="M150" t="str">
        <f t="shared" si="20"/>
        <v>UP</v>
      </c>
      <c r="N150">
        <v>-4.3830156326294303E-3</v>
      </c>
      <c r="O150" t="str">
        <f t="shared" si="21"/>
        <v>DOWN</v>
      </c>
      <c r="P150">
        <v>39.410595972133898</v>
      </c>
      <c r="Q150">
        <v>0.50960045935170895</v>
      </c>
      <c r="R150" t="str">
        <f t="shared" si="22"/>
        <v>UP</v>
      </c>
      <c r="S150">
        <v>1.1730500459671001</v>
      </c>
      <c r="T150" t="str">
        <f t="shared" si="16"/>
        <v>UP</v>
      </c>
      <c r="U150">
        <v>1.1727499961853001</v>
      </c>
      <c r="V150" t="str">
        <f t="shared" si="23"/>
        <v>UP</v>
      </c>
      <c r="W150">
        <v>1.17330002784729</v>
      </c>
      <c r="X150" t="str">
        <f t="shared" si="17"/>
        <v>UP</v>
      </c>
      <c r="Y150">
        <v>1.1727499961853001</v>
      </c>
      <c r="Z150" t="str">
        <f t="shared" si="18"/>
        <v>UP</v>
      </c>
      <c r="AA150">
        <v>0</v>
      </c>
      <c r="AB150">
        <v>0</v>
      </c>
      <c r="AC150">
        <v>0</v>
      </c>
      <c r="AD150">
        <v>0</v>
      </c>
    </row>
    <row r="151" spans="1:30" hidden="1" x14ac:dyDescent="0.35">
      <c r="A151" s="2">
        <v>45884</v>
      </c>
      <c r="B151" t="s">
        <v>29</v>
      </c>
      <c r="C151">
        <v>1.17349994182586</v>
      </c>
      <c r="D151">
        <v>1.17349994182586</v>
      </c>
      <c r="E151">
        <v>1.17349994182586</v>
      </c>
      <c r="F151">
        <v>1.17349994182586</v>
      </c>
      <c r="G151">
        <v>0</v>
      </c>
      <c r="H151">
        <v>1.1730299711227401</v>
      </c>
      <c r="I151">
        <v>3.19981575012118E-4</v>
      </c>
      <c r="J151" t="str">
        <f t="shared" si="19"/>
        <v>UP</v>
      </c>
      <c r="K151">
        <v>1.1771730041503901</v>
      </c>
      <c r="L151" s="1">
        <v>7.9998970031747095E-5</v>
      </c>
      <c r="M151" t="str">
        <f t="shared" si="20"/>
        <v>UP</v>
      </c>
      <c r="N151">
        <v>-4.1430330276490601E-3</v>
      </c>
      <c r="O151" t="str">
        <f t="shared" si="21"/>
        <v>DOWN</v>
      </c>
      <c r="P151">
        <v>40.215762541346997</v>
      </c>
      <c r="Q151">
        <v>0.80516656921312002</v>
      </c>
      <c r="R151" t="str">
        <f t="shared" si="22"/>
        <v>UP</v>
      </c>
      <c r="S151">
        <v>1.17334997653961</v>
      </c>
      <c r="T151" t="str">
        <f t="shared" si="16"/>
        <v>UP</v>
      </c>
      <c r="U151">
        <v>1.1730500459671001</v>
      </c>
      <c r="V151" t="str">
        <f t="shared" si="23"/>
        <v>UP</v>
      </c>
      <c r="W151">
        <v>1.17334997653961</v>
      </c>
      <c r="X151" t="str">
        <f t="shared" si="17"/>
        <v>UP</v>
      </c>
      <c r="Y151">
        <v>1.17330002784729</v>
      </c>
      <c r="Z151" t="str">
        <f t="shared" si="18"/>
        <v>UP</v>
      </c>
      <c r="AA151">
        <v>0</v>
      </c>
      <c r="AB151">
        <v>1</v>
      </c>
      <c r="AC151">
        <v>0</v>
      </c>
      <c r="AD151">
        <v>0</v>
      </c>
    </row>
    <row r="152" spans="1:30" hidden="1" x14ac:dyDescent="0.35">
      <c r="A152" s="2">
        <v>45884</v>
      </c>
      <c r="B152" t="s">
        <v>30</v>
      </c>
      <c r="C152">
        <v>1.17375004291534</v>
      </c>
      <c r="D152">
        <v>1.17375004291534</v>
      </c>
      <c r="E152">
        <v>1.17375004291534</v>
      </c>
      <c r="F152">
        <v>1.17375004291534</v>
      </c>
      <c r="G152">
        <v>3</v>
      </c>
      <c r="H152">
        <v>1.17331998348236</v>
      </c>
      <c r="I152">
        <v>2.9001235961922901E-4</v>
      </c>
      <c r="J152" t="str">
        <f t="shared" si="19"/>
        <v>UP</v>
      </c>
      <c r="K152">
        <v>1.1771890044212301</v>
      </c>
      <c r="L152" s="1">
        <v>1.60002708433637E-5</v>
      </c>
      <c r="M152" t="str">
        <f t="shared" si="20"/>
        <v>UP</v>
      </c>
      <c r="N152">
        <v>-3.8690209388732E-3</v>
      </c>
      <c r="O152" t="str">
        <f t="shared" si="21"/>
        <v>DOWN</v>
      </c>
      <c r="P152">
        <v>41.609374008474902</v>
      </c>
      <c r="Q152">
        <v>1.3936114671278901</v>
      </c>
      <c r="R152" t="str">
        <f t="shared" si="22"/>
        <v>UP</v>
      </c>
      <c r="S152">
        <v>1.17349994182586</v>
      </c>
      <c r="T152" t="str">
        <f t="shared" si="16"/>
        <v>UP</v>
      </c>
      <c r="U152">
        <v>1.17334997653961</v>
      </c>
      <c r="V152" t="str">
        <f t="shared" si="23"/>
        <v>UP</v>
      </c>
      <c r="W152">
        <v>1.17349994182586</v>
      </c>
      <c r="X152" t="str">
        <f t="shared" si="17"/>
        <v>UP</v>
      </c>
      <c r="Y152">
        <v>1.17334997653961</v>
      </c>
      <c r="Z152" t="str">
        <f t="shared" si="18"/>
        <v>UP</v>
      </c>
      <c r="AA152">
        <v>0</v>
      </c>
      <c r="AB152">
        <v>0</v>
      </c>
      <c r="AC152">
        <v>0</v>
      </c>
      <c r="AD152">
        <v>0</v>
      </c>
    </row>
    <row r="153" spans="1:30" hidden="1" x14ac:dyDescent="0.35">
      <c r="A153" s="2">
        <v>45884</v>
      </c>
      <c r="B153" t="s">
        <v>31</v>
      </c>
      <c r="C153">
        <v>1.17390000820159</v>
      </c>
      <c r="D153">
        <v>1.17390000820159</v>
      </c>
      <c r="E153">
        <v>1.17365002632141</v>
      </c>
      <c r="F153">
        <v>1.17365002632141</v>
      </c>
      <c r="G153">
        <v>4</v>
      </c>
      <c r="H153">
        <v>1.17354998588562</v>
      </c>
      <c r="I153">
        <v>2.3000240325932099E-4</v>
      </c>
      <c r="J153" t="str">
        <f t="shared" si="19"/>
        <v>UP</v>
      </c>
      <c r="K153">
        <v>1.1771950054168701</v>
      </c>
      <c r="L153" s="1">
        <v>6.0009956359685603E-6</v>
      </c>
      <c r="M153" t="str">
        <f t="shared" si="20"/>
        <v>UP</v>
      </c>
      <c r="N153">
        <v>-3.6450195312498399E-3</v>
      </c>
      <c r="O153" t="str">
        <f t="shared" si="21"/>
        <v>DOWN</v>
      </c>
      <c r="P153">
        <v>42.475277301752499</v>
      </c>
      <c r="Q153">
        <v>0.86590329327765403</v>
      </c>
      <c r="R153" t="str">
        <f t="shared" si="22"/>
        <v>UP</v>
      </c>
      <c r="S153">
        <v>1.17375004291534</v>
      </c>
      <c r="T153" t="str">
        <f t="shared" si="16"/>
        <v>DOWN</v>
      </c>
      <c r="U153">
        <v>1.17349994182586</v>
      </c>
      <c r="V153" t="str">
        <f t="shared" si="23"/>
        <v>UP</v>
      </c>
      <c r="W153">
        <v>1.17375004291534</v>
      </c>
      <c r="X153" t="str">
        <f t="shared" si="17"/>
        <v>UP</v>
      </c>
      <c r="Y153">
        <v>1.17349994182586</v>
      </c>
      <c r="Z153" t="str">
        <f t="shared" si="18"/>
        <v>UP</v>
      </c>
      <c r="AA153">
        <v>0</v>
      </c>
      <c r="AB153">
        <v>0</v>
      </c>
      <c r="AC153">
        <v>0</v>
      </c>
      <c r="AD153">
        <v>0</v>
      </c>
    </row>
    <row r="154" spans="1:30" hidden="1" x14ac:dyDescent="0.35">
      <c r="A154" s="2">
        <v>45884</v>
      </c>
      <c r="B154" t="s">
        <v>32</v>
      </c>
      <c r="C154">
        <v>1.17464995384216</v>
      </c>
      <c r="D154">
        <v>1.1748000383377</v>
      </c>
      <c r="E154">
        <v>1.17464995384216</v>
      </c>
      <c r="F154">
        <v>1.1748000383377</v>
      </c>
      <c r="G154">
        <v>3</v>
      </c>
      <c r="H154">
        <v>1.1738299846649101</v>
      </c>
      <c r="I154">
        <v>2.7999877929674101E-4</v>
      </c>
      <c r="J154" t="str">
        <f t="shared" si="19"/>
        <v>UP</v>
      </c>
      <c r="K154">
        <v>1.17719000339508</v>
      </c>
      <c r="L154" s="1">
        <v>-5.0020217894353096E-6</v>
      </c>
      <c r="M154" t="str">
        <f t="shared" si="20"/>
        <v>DOWN</v>
      </c>
      <c r="N154">
        <v>-3.3600187301636702E-3</v>
      </c>
      <c r="O154" t="str">
        <f t="shared" si="21"/>
        <v>DOWN</v>
      </c>
      <c r="P154">
        <v>46.729650043899497</v>
      </c>
      <c r="Q154">
        <v>4.2543727421469804</v>
      </c>
      <c r="R154" t="str">
        <f t="shared" si="22"/>
        <v>UP</v>
      </c>
      <c r="S154">
        <v>1.17365002632141</v>
      </c>
      <c r="T154" t="str">
        <f t="shared" si="16"/>
        <v>UP</v>
      </c>
      <c r="U154">
        <v>1.17375004291534</v>
      </c>
      <c r="V154" t="str">
        <f t="shared" si="23"/>
        <v>UP</v>
      </c>
      <c r="W154">
        <v>1.17390000820159</v>
      </c>
      <c r="X154" t="str">
        <f t="shared" si="17"/>
        <v>UP</v>
      </c>
      <c r="Y154">
        <v>1.17375004291534</v>
      </c>
      <c r="Z154" t="str">
        <f t="shared" si="18"/>
        <v>UP</v>
      </c>
      <c r="AA154">
        <v>0</v>
      </c>
      <c r="AB154">
        <v>0</v>
      </c>
      <c r="AC154">
        <v>0</v>
      </c>
      <c r="AD154">
        <v>0</v>
      </c>
    </row>
    <row r="155" spans="1:30" hidden="1" x14ac:dyDescent="0.35">
      <c r="A155" s="2">
        <v>45884</v>
      </c>
      <c r="B155" t="s">
        <v>41</v>
      </c>
      <c r="C155">
        <v>1.17490005493164</v>
      </c>
      <c r="D155">
        <v>1.17490005493164</v>
      </c>
      <c r="E155">
        <v>1.17490005493164</v>
      </c>
      <c r="F155">
        <v>1.17490005493164</v>
      </c>
      <c r="G155">
        <v>4</v>
      </c>
      <c r="H155">
        <v>1.17414000034332</v>
      </c>
      <c r="I155">
        <v>3.1001567840571698E-4</v>
      </c>
      <c r="J155" t="str">
        <f t="shared" si="19"/>
        <v>UP</v>
      </c>
      <c r="K155">
        <v>1.17716000556945</v>
      </c>
      <c r="L155" s="1">
        <v>-2.9997825622629601E-5</v>
      </c>
      <c r="M155" t="str">
        <f t="shared" si="20"/>
        <v>DOWN</v>
      </c>
      <c r="N155">
        <v>-3.0200052261353202E-3</v>
      </c>
      <c r="O155" t="str">
        <f t="shared" si="21"/>
        <v>DOWN</v>
      </c>
      <c r="P155">
        <v>48.107976498637697</v>
      </c>
      <c r="Q155">
        <v>1.3783264547382199</v>
      </c>
      <c r="R155" t="str">
        <f t="shared" si="22"/>
        <v>UP</v>
      </c>
      <c r="S155">
        <v>1.17464995384216</v>
      </c>
      <c r="T155" t="str">
        <f t="shared" si="16"/>
        <v>UP</v>
      </c>
      <c r="U155">
        <v>1.17365002632141</v>
      </c>
      <c r="V155" t="str">
        <f t="shared" si="23"/>
        <v>UP</v>
      </c>
      <c r="W155">
        <v>1.1748000383377</v>
      </c>
      <c r="X155" t="str">
        <f t="shared" si="17"/>
        <v>UP</v>
      </c>
      <c r="Y155">
        <v>1.17390000820159</v>
      </c>
      <c r="Z155" t="str">
        <f t="shared" si="18"/>
        <v>UP</v>
      </c>
      <c r="AA155">
        <v>0</v>
      </c>
      <c r="AB155">
        <v>0</v>
      </c>
      <c r="AC155">
        <v>0</v>
      </c>
      <c r="AD155">
        <v>0</v>
      </c>
    </row>
    <row r="156" spans="1:30" hidden="1" x14ac:dyDescent="0.35">
      <c r="A156" s="2">
        <v>45884</v>
      </c>
      <c r="B156" t="s">
        <v>34</v>
      </c>
      <c r="C156">
        <v>1.1758500337600699</v>
      </c>
      <c r="D156">
        <v>1.1759999990463199</v>
      </c>
      <c r="E156">
        <v>1.1755499839782699</v>
      </c>
      <c r="F156">
        <v>1.1759999990463199</v>
      </c>
      <c r="G156">
        <v>43</v>
      </c>
      <c r="H156">
        <v>1.17461001873016</v>
      </c>
      <c r="I156">
        <v>4.7001838684090902E-4</v>
      </c>
      <c r="J156" t="str">
        <f t="shared" si="19"/>
        <v>UP</v>
      </c>
      <c r="K156">
        <v>1.17716300725936</v>
      </c>
      <c r="L156" s="1">
        <v>3.0016899108531401E-6</v>
      </c>
      <c r="M156" t="str">
        <f t="shared" si="20"/>
        <v>UP</v>
      </c>
      <c r="N156">
        <v>-2.5529885292052599E-3</v>
      </c>
      <c r="O156" t="str">
        <f t="shared" si="21"/>
        <v>DOWN</v>
      </c>
      <c r="P156">
        <v>53.074561864449997</v>
      </c>
      <c r="Q156">
        <v>4.9665853658122199</v>
      </c>
      <c r="R156" t="str">
        <f t="shared" si="22"/>
        <v>UP</v>
      </c>
      <c r="S156">
        <v>1.17490005493164</v>
      </c>
      <c r="T156" t="str">
        <f t="shared" si="16"/>
        <v>UP</v>
      </c>
      <c r="U156">
        <v>1.17464995384216</v>
      </c>
      <c r="V156" t="str">
        <f t="shared" si="23"/>
        <v>UP</v>
      </c>
      <c r="W156">
        <v>1.17490005493164</v>
      </c>
      <c r="X156" t="str">
        <f t="shared" si="17"/>
        <v>UP</v>
      </c>
      <c r="Y156">
        <v>1.1748000383377</v>
      </c>
      <c r="Z156" t="str">
        <f t="shared" si="18"/>
        <v>UP</v>
      </c>
      <c r="AA156">
        <v>0</v>
      </c>
      <c r="AB156">
        <v>0</v>
      </c>
      <c r="AC156">
        <v>0</v>
      </c>
      <c r="AD156">
        <v>0</v>
      </c>
    </row>
    <row r="157" spans="1:30" hidden="1" x14ac:dyDescent="0.35">
      <c r="A157" s="2">
        <v>45884</v>
      </c>
      <c r="B157" t="s">
        <v>35</v>
      </c>
      <c r="C157">
        <v>1.1770000457763601</v>
      </c>
      <c r="D157">
        <v>1.1770000457763601</v>
      </c>
      <c r="E157">
        <v>1.1763499975204399</v>
      </c>
      <c r="F157">
        <v>1.1764500141143699</v>
      </c>
      <c r="G157">
        <v>13</v>
      </c>
      <c r="H157">
        <v>1.1752600193023599</v>
      </c>
      <c r="I157">
        <v>6.50000572204545E-4</v>
      </c>
      <c r="J157" t="str">
        <f t="shared" si="19"/>
        <v>UP</v>
      </c>
      <c r="K157">
        <v>1.17716700792312</v>
      </c>
      <c r="L157" s="1">
        <v>4.0006637573863904E-6</v>
      </c>
      <c r="M157" t="str">
        <f t="shared" si="20"/>
        <v>UP</v>
      </c>
      <c r="N157">
        <v>-1.9069886207581099E-3</v>
      </c>
      <c r="O157" t="str">
        <f t="shared" si="21"/>
        <v>DOWN</v>
      </c>
      <c r="P157">
        <v>58.280185890592001</v>
      </c>
      <c r="Q157">
        <v>5.2056240261420399</v>
      </c>
      <c r="R157" t="str">
        <f t="shared" si="22"/>
        <v>UP</v>
      </c>
      <c r="S157">
        <v>1.1755499839782699</v>
      </c>
      <c r="T157" t="str">
        <f t="shared" si="16"/>
        <v>UP</v>
      </c>
      <c r="U157">
        <v>1.17490005493164</v>
      </c>
      <c r="V157" t="str">
        <f t="shared" si="23"/>
        <v>UP</v>
      </c>
      <c r="W157">
        <v>1.1759999990463199</v>
      </c>
      <c r="X157" t="str">
        <f t="shared" si="17"/>
        <v>UP</v>
      </c>
      <c r="Y157">
        <v>1.17490005493164</v>
      </c>
      <c r="Z157" t="str">
        <f t="shared" si="18"/>
        <v>UP</v>
      </c>
      <c r="AA157">
        <v>0</v>
      </c>
      <c r="AB157">
        <v>0</v>
      </c>
      <c r="AC157">
        <v>0</v>
      </c>
      <c r="AD157">
        <v>0</v>
      </c>
    </row>
    <row r="158" spans="1:30" hidden="1" x14ac:dyDescent="0.35">
      <c r="A158" s="2">
        <v>45884</v>
      </c>
      <c r="B158" t="s">
        <v>36</v>
      </c>
      <c r="C158">
        <v>1.1770000457763601</v>
      </c>
      <c r="D158">
        <v>1.1770000457763601</v>
      </c>
      <c r="E158">
        <v>1.1770000457763601</v>
      </c>
      <c r="F158">
        <v>1.1770000457763601</v>
      </c>
      <c r="G158">
        <v>12</v>
      </c>
      <c r="H158">
        <v>1.17588002681732</v>
      </c>
      <c r="I158">
        <v>6.2000751495361296E-4</v>
      </c>
      <c r="J158" t="str">
        <f t="shared" si="19"/>
        <v>UP</v>
      </c>
      <c r="K158">
        <v>1.17719200849533</v>
      </c>
      <c r="L158" s="1">
        <v>2.5000572204669698E-5</v>
      </c>
      <c r="M158" t="str">
        <f t="shared" si="20"/>
        <v>UP</v>
      </c>
      <c r="N158">
        <v>-1.3119816780091599E-3</v>
      </c>
      <c r="O158" t="str">
        <f t="shared" si="21"/>
        <v>DOWN</v>
      </c>
      <c r="P158">
        <v>58.280185890592001</v>
      </c>
      <c r="Q158" s="1">
        <v>-7.1054273576010003E-15</v>
      </c>
      <c r="R158" t="str">
        <f t="shared" si="22"/>
        <v>DOWN</v>
      </c>
      <c r="S158">
        <v>1.1763499975204399</v>
      </c>
      <c r="T158" t="str">
        <f t="shared" si="16"/>
        <v>UP</v>
      </c>
      <c r="U158">
        <v>1.1755499839782699</v>
      </c>
      <c r="V158" t="str">
        <f t="shared" si="23"/>
        <v>UP</v>
      </c>
      <c r="W158">
        <v>1.1770000457763601</v>
      </c>
      <c r="X158" t="str">
        <f t="shared" si="17"/>
        <v>DOWN</v>
      </c>
      <c r="Y158">
        <v>1.1759999990463199</v>
      </c>
      <c r="Z158" t="str">
        <f t="shared" si="18"/>
        <v>UP</v>
      </c>
      <c r="AA158">
        <v>0</v>
      </c>
      <c r="AB158">
        <v>0</v>
      </c>
      <c r="AC158">
        <v>0</v>
      </c>
      <c r="AD158">
        <v>0</v>
      </c>
    </row>
    <row r="159" spans="1:30" hidden="1" x14ac:dyDescent="0.35">
      <c r="A159" s="2">
        <v>45884</v>
      </c>
      <c r="B159" t="s">
        <v>37</v>
      </c>
      <c r="C159">
        <v>1.1770000457763601</v>
      </c>
      <c r="D159">
        <v>1.1770000457763601</v>
      </c>
      <c r="E159">
        <v>1.1769499778747501</v>
      </c>
      <c r="F159">
        <v>1.1770000457763601</v>
      </c>
      <c r="G159">
        <v>53</v>
      </c>
      <c r="H159">
        <v>1.17635004520416</v>
      </c>
      <c r="I159">
        <v>4.7001838684090902E-4</v>
      </c>
      <c r="J159" t="str">
        <f t="shared" si="19"/>
        <v>UP</v>
      </c>
      <c r="K159">
        <v>1.17720700979232</v>
      </c>
      <c r="L159" s="1">
        <v>1.50012969970525E-5</v>
      </c>
      <c r="M159" t="str">
        <f t="shared" si="20"/>
        <v>UP</v>
      </c>
      <c r="N159">
        <v>-8.5696458816530898E-4</v>
      </c>
      <c r="O159" t="str">
        <f t="shared" si="21"/>
        <v>DOWN</v>
      </c>
      <c r="P159">
        <v>58.280185890592001</v>
      </c>
      <c r="Q159">
        <v>0</v>
      </c>
      <c r="R159" t="str">
        <f t="shared" si="22"/>
        <v>DOWN</v>
      </c>
      <c r="S159">
        <v>1.1770000457763601</v>
      </c>
      <c r="T159" t="str">
        <f t="shared" si="16"/>
        <v>DOWN</v>
      </c>
      <c r="U159">
        <v>1.1763499975204399</v>
      </c>
      <c r="V159" t="str">
        <f t="shared" si="23"/>
        <v>UP</v>
      </c>
      <c r="W159">
        <v>1.1770000457763601</v>
      </c>
      <c r="X159" t="str">
        <f t="shared" si="17"/>
        <v>DOWN</v>
      </c>
      <c r="Y159">
        <v>1.1770000457763601</v>
      </c>
      <c r="Z159" t="str">
        <f t="shared" si="18"/>
        <v>DOWN</v>
      </c>
      <c r="AA159">
        <v>0</v>
      </c>
      <c r="AB159">
        <v>0</v>
      </c>
      <c r="AC159">
        <v>0</v>
      </c>
      <c r="AD159">
        <v>0</v>
      </c>
    </row>
    <row r="160" spans="1:30" hidden="1" x14ac:dyDescent="0.35">
      <c r="A160" s="2">
        <v>45884</v>
      </c>
      <c r="B160" t="s">
        <v>20</v>
      </c>
      <c r="C160">
        <v>1.1773500442504801</v>
      </c>
      <c r="D160">
        <v>1.1773500442504801</v>
      </c>
      <c r="E160">
        <v>1.1773500442504801</v>
      </c>
      <c r="F160">
        <v>1.1773500442504801</v>
      </c>
      <c r="G160">
        <v>71</v>
      </c>
      <c r="H160">
        <v>1.17684004306793</v>
      </c>
      <c r="I160">
        <v>4.8999786376957501E-4</v>
      </c>
      <c r="J160" t="str">
        <f t="shared" si="19"/>
        <v>UP</v>
      </c>
      <c r="K160">
        <v>1.1772290110588</v>
      </c>
      <c r="L160" s="1">
        <v>2.2001266479332298E-5</v>
      </c>
      <c r="M160" t="str">
        <f t="shared" si="20"/>
        <v>UP</v>
      </c>
      <c r="N160">
        <v>-3.8896799087506602E-4</v>
      </c>
      <c r="O160" t="str">
        <f t="shared" si="21"/>
        <v>DOWN</v>
      </c>
      <c r="P160">
        <v>59.9682422585186</v>
      </c>
      <c r="Q160">
        <v>1.6880563679265901</v>
      </c>
      <c r="R160" t="str">
        <f t="shared" si="22"/>
        <v>UP</v>
      </c>
      <c r="S160">
        <v>1.1769499778747501</v>
      </c>
      <c r="T160" t="str">
        <f t="shared" si="16"/>
        <v>UP</v>
      </c>
      <c r="U160">
        <v>1.1770000457763601</v>
      </c>
      <c r="V160" t="str">
        <f t="shared" si="23"/>
        <v>UP</v>
      </c>
      <c r="W160">
        <v>1.1770000457763601</v>
      </c>
      <c r="X160" t="str">
        <f t="shared" si="17"/>
        <v>UP</v>
      </c>
      <c r="Y160">
        <v>1.1770000457763601</v>
      </c>
      <c r="Z160" t="str">
        <f t="shared" si="18"/>
        <v>UP</v>
      </c>
      <c r="AA160">
        <v>0</v>
      </c>
      <c r="AB160">
        <v>0</v>
      </c>
      <c r="AC160">
        <v>0</v>
      </c>
      <c r="AD160">
        <v>0</v>
      </c>
    </row>
    <row r="161" spans="1:30" hidden="1" x14ac:dyDescent="0.35">
      <c r="A161" s="2">
        <v>45884</v>
      </c>
      <c r="B161" t="s">
        <v>21</v>
      </c>
      <c r="C161">
        <v>1.1771500110626201</v>
      </c>
      <c r="D161">
        <v>1.1771500110626201</v>
      </c>
      <c r="E161">
        <v>1.1771500110626201</v>
      </c>
      <c r="F161">
        <v>1.1771500110626201</v>
      </c>
      <c r="G161">
        <v>1</v>
      </c>
      <c r="H161">
        <v>1.17710003852844</v>
      </c>
      <c r="I161">
        <v>2.5999546051025298E-4</v>
      </c>
      <c r="J161" t="str">
        <f t="shared" si="19"/>
        <v>UP</v>
      </c>
      <c r="K161">
        <v>1.1772250103950499</v>
      </c>
      <c r="L161" s="1">
        <v>-4.0006637571643399E-6</v>
      </c>
      <c r="M161" t="str">
        <f t="shared" si="20"/>
        <v>DOWN</v>
      </c>
      <c r="N161">
        <v>-1.2497186660764801E-4</v>
      </c>
      <c r="O161" t="str">
        <f t="shared" si="21"/>
        <v>DOWN</v>
      </c>
      <c r="P161">
        <v>58.5110951613323</v>
      </c>
      <c r="Q161">
        <v>-1.4571470971862299</v>
      </c>
      <c r="R161" t="str">
        <f t="shared" si="22"/>
        <v>DOWN</v>
      </c>
      <c r="S161">
        <v>1.1773500442504801</v>
      </c>
      <c r="T161" t="str">
        <f t="shared" si="16"/>
        <v>DOWN</v>
      </c>
      <c r="U161">
        <v>1.1769499778747501</v>
      </c>
      <c r="V161" t="str">
        <f t="shared" si="23"/>
        <v>UP</v>
      </c>
      <c r="W161">
        <v>1.1773500442504801</v>
      </c>
      <c r="X161" t="str">
        <f t="shared" si="17"/>
        <v>DOWN</v>
      </c>
      <c r="Y161">
        <v>1.1770000457763601</v>
      </c>
      <c r="Z161" t="str">
        <f t="shared" si="18"/>
        <v>UP</v>
      </c>
      <c r="AA161">
        <v>0</v>
      </c>
      <c r="AB161">
        <v>0</v>
      </c>
      <c r="AC161">
        <v>0</v>
      </c>
      <c r="AD161">
        <v>0</v>
      </c>
    </row>
    <row r="162" spans="1:30" hidden="1" x14ac:dyDescent="0.35">
      <c r="A162" s="2">
        <v>45884</v>
      </c>
      <c r="B162" t="s">
        <v>22</v>
      </c>
      <c r="C162">
        <v>1.1774499416351301</v>
      </c>
      <c r="D162">
        <v>1.17844998836517</v>
      </c>
      <c r="E162">
        <v>1.1761499643325799</v>
      </c>
      <c r="F162">
        <v>1.1774499416351301</v>
      </c>
      <c r="G162">
        <v>147</v>
      </c>
      <c r="H162">
        <v>1.1771900177001899</v>
      </c>
      <c r="I162" s="1">
        <v>8.9979171752796407E-5</v>
      </c>
      <c r="J162" t="str">
        <f t="shared" si="19"/>
        <v>UP</v>
      </c>
      <c r="K162">
        <v>1.1772330093383701</v>
      </c>
      <c r="L162" s="1">
        <v>7.9989433288130096E-6</v>
      </c>
      <c r="M162" t="str">
        <f t="shared" si="20"/>
        <v>UP</v>
      </c>
      <c r="N162" s="1">
        <v>-4.2991638183664797E-5</v>
      </c>
      <c r="O162" t="str">
        <f t="shared" si="21"/>
        <v>DOWN</v>
      </c>
      <c r="P162">
        <v>60.077497061608703</v>
      </c>
      <c r="Q162">
        <v>1.5664019002763301</v>
      </c>
      <c r="R162" t="str">
        <f t="shared" si="22"/>
        <v>UP</v>
      </c>
      <c r="S162">
        <v>1.1771500110626201</v>
      </c>
      <c r="T162" t="str">
        <f t="shared" si="16"/>
        <v>DOWN</v>
      </c>
      <c r="U162">
        <v>1.1773500442504801</v>
      </c>
      <c r="V162" t="str">
        <f t="shared" si="23"/>
        <v>DOWN</v>
      </c>
      <c r="W162">
        <v>1.1771500110626201</v>
      </c>
      <c r="X162" t="str">
        <f t="shared" si="17"/>
        <v>UP</v>
      </c>
      <c r="Y162">
        <v>1.1773500442504801</v>
      </c>
      <c r="Z162" t="str">
        <f t="shared" si="18"/>
        <v>UP</v>
      </c>
      <c r="AA162">
        <v>0</v>
      </c>
      <c r="AB162">
        <v>0</v>
      </c>
      <c r="AC162">
        <v>0</v>
      </c>
      <c r="AD162">
        <v>0</v>
      </c>
    </row>
    <row r="163" spans="1:30" hidden="1" x14ac:dyDescent="0.35">
      <c r="A163" s="2">
        <v>45884</v>
      </c>
      <c r="B163" t="s">
        <v>23</v>
      </c>
      <c r="C163">
        <v>1.17890000343322</v>
      </c>
      <c r="D163">
        <v>1.17890000343322</v>
      </c>
      <c r="E163">
        <v>1.1771999597549401</v>
      </c>
      <c r="F163">
        <v>1.17844998836517</v>
      </c>
      <c r="G163">
        <v>20</v>
      </c>
      <c r="H163">
        <v>1.17757000923156</v>
      </c>
      <c r="I163">
        <v>3.7999153137202498E-4</v>
      </c>
      <c r="J163" t="str">
        <f t="shared" si="19"/>
        <v>UP</v>
      </c>
      <c r="K163">
        <v>1.1772640085220301</v>
      </c>
      <c r="L163" s="1">
        <v>3.09991836546785E-5</v>
      </c>
      <c r="M163" t="str">
        <f t="shared" si="20"/>
        <v>UP</v>
      </c>
      <c r="N163">
        <v>3.0600070953368198E-4</v>
      </c>
      <c r="O163" t="str">
        <f t="shared" si="21"/>
        <v>UP</v>
      </c>
      <c r="P163">
        <v>66.635937948781105</v>
      </c>
      <c r="Q163">
        <v>6.5584408871723996</v>
      </c>
      <c r="R163" t="str">
        <f t="shared" si="22"/>
        <v>UP</v>
      </c>
      <c r="S163">
        <v>1.1761499643325799</v>
      </c>
      <c r="T163" t="str">
        <f t="shared" si="16"/>
        <v>UP</v>
      </c>
      <c r="U163">
        <v>1.1771500110626201</v>
      </c>
      <c r="V163" t="str">
        <f t="shared" si="23"/>
        <v>UP</v>
      </c>
      <c r="W163">
        <v>1.17844998836517</v>
      </c>
      <c r="X163" t="str">
        <f t="shared" si="17"/>
        <v>UP</v>
      </c>
      <c r="Y163">
        <v>1.1771500110626201</v>
      </c>
      <c r="Z163" t="str">
        <f t="shared" si="18"/>
        <v>UP</v>
      </c>
      <c r="AA163">
        <v>0</v>
      </c>
      <c r="AB163">
        <v>0</v>
      </c>
      <c r="AC163">
        <v>0</v>
      </c>
      <c r="AD163">
        <v>0</v>
      </c>
    </row>
    <row r="164" spans="1:30" hidden="1" x14ac:dyDescent="0.35">
      <c r="A164" s="2">
        <v>45884</v>
      </c>
      <c r="B164" t="s">
        <v>24</v>
      </c>
      <c r="C164">
        <v>1.1798000335693299</v>
      </c>
      <c r="D164">
        <v>1.1800500154495199</v>
      </c>
      <c r="E164">
        <v>1.17935001850128</v>
      </c>
      <c r="F164">
        <v>1.17935001850128</v>
      </c>
      <c r="G164">
        <v>59</v>
      </c>
      <c r="H164">
        <v>1.1781300067901599</v>
      </c>
      <c r="I164">
        <v>5.5999755859392699E-4</v>
      </c>
      <c r="J164" t="str">
        <f t="shared" si="19"/>
        <v>UP</v>
      </c>
      <c r="K164">
        <v>1.1773240089416499</v>
      </c>
      <c r="L164" s="1">
        <v>6.0000419616734698E-5</v>
      </c>
      <c r="M164" t="str">
        <f t="shared" si="20"/>
        <v>UP</v>
      </c>
      <c r="N164">
        <v>8.0599784851087498E-4</v>
      </c>
      <c r="O164" t="str">
        <f t="shared" si="21"/>
        <v>UP</v>
      </c>
      <c r="P164">
        <v>69.937114374473396</v>
      </c>
      <c r="Q164">
        <v>3.3011764256922902</v>
      </c>
      <c r="R164" t="str">
        <f t="shared" si="22"/>
        <v>UP</v>
      </c>
      <c r="S164">
        <v>1.1771999597549401</v>
      </c>
      <c r="T164" t="str">
        <f t="shared" si="16"/>
        <v>UP</v>
      </c>
      <c r="U164">
        <v>1.1761499643325799</v>
      </c>
      <c r="V164" t="str">
        <f t="shared" si="23"/>
        <v>UP</v>
      </c>
      <c r="W164">
        <v>1.17890000343322</v>
      </c>
      <c r="X164" t="str">
        <f t="shared" si="17"/>
        <v>UP</v>
      </c>
      <c r="Y164">
        <v>1.17844998836517</v>
      </c>
      <c r="Z164" t="str">
        <f t="shared" si="18"/>
        <v>UP</v>
      </c>
      <c r="AA164">
        <v>1</v>
      </c>
      <c r="AB164">
        <v>0</v>
      </c>
      <c r="AC164">
        <v>0</v>
      </c>
      <c r="AD164">
        <v>0</v>
      </c>
    </row>
    <row r="165" spans="1:30" hidden="1" x14ac:dyDescent="0.35">
      <c r="A165" s="2">
        <v>45884</v>
      </c>
      <c r="B165" t="s">
        <v>25</v>
      </c>
      <c r="C165">
        <v>1.17920005321502</v>
      </c>
      <c r="D165">
        <v>1.1800500154495199</v>
      </c>
      <c r="E165">
        <v>1.17910003662109</v>
      </c>
      <c r="F165">
        <v>1.1797499656677199</v>
      </c>
      <c r="G165">
        <v>237</v>
      </c>
      <c r="H165">
        <v>1.1785000085830599</v>
      </c>
      <c r="I165">
        <v>3.7000179290758102E-4</v>
      </c>
      <c r="J165" t="str">
        <f t="shared" si="19"/>
        <v>UP</v>
      </c>
      <c r="K165">
        <v>1.17734801054</v>
      </c>
      <c r="L165" s="1">
        <v>2.4001598358136499E-5</v>
      </c>
      <c r="M165" t="str">
        <f t="shared" si="20"/>
        <v>UP</v>
      </c>
      <c r="N165">
        <v>1.1519980430603201E-3</v>
      </c>
      <c r="O165" t="str">
        <f t="shared" si="21"/>
        <v>UP</v>
      </c>
      <c r="P165">
        <v>65.298805021090004</v>
      </c>
      <c r="Q165">
        <v>-4.6383093533833204</v>
      </c>
      <c r="R165" t="str">
        <f t="shared" si="22"/>
        <v>DOWN</v>
      </c>
      <c r="S165">
        <v>1.17935001850128</v>
      </c>
      <c r="T165" t="str">
        <f t="shared" si="16"/>
        <v>DOWN</v>
      </c>
      <c r="U165">
        <v>1.1771999597549401</v>
      </c>
      <c r="V165" t="str">
        <f t="shared" si="23"/>
        <v>UP</v>
      </c>
      <c r="W165">
        <v>1.1800500154495199</v>
      </c>
      <c r="X165" t="str">
        <f t="shared" si="17"/>
        <v>DOWN</v>
      </c>
      <c r="Y165">
        <v>1.17890000343322</v>
      </c>
      <c r="Z165" t="str">
        <f t="shared" si="18"/>
        <v>UP</v>
      </c>
      <c r="AA165">
        <v>1</v>
      </c>
      <c r="AB165">
        <v>0</v>
      </c>
      <c r="AC165">
        <v>0</v>
      </c>
      <c r="AD165">
        <v>0</v>
      </c>
    </row>
    <row r="166" spans="1:30" hidden="1" x14ac:dyDescent="0.35">
      <c r="A166" s="2">
        <v>45884</v>
      </c>
      <c r="B166" t="s">
        <v>26</v>
      </c>
      <c r="C166">
        <v>1.17900002002716</v>
      </c>
      <c r="D166">
        <v>1.17925000190734</v>
      </c>
      <c r="E166">
        <v>1.1788500547409</v>
      </c>
      <c r="F166">
        <v>1.17900002002716</v>
      </c>
      <c r="G166">
        <v>0</v>
      </c>
      <c r="H166">
        <v>1.1788700103759699</v>
      </c>
      <c r="I166">
        <v>3.7000179290780301E-4</v>
      </c>
      <c r="J166" t="str">
        <f t="shared" si="19"/>
        <v>UP</v>
      </c>
      <c r="K166">
        <v>1.17733501195907</v>
      </c>
      <c r="L166" s="1">
        <v>-1.2998580932510599E-5</v>
      </c>
      <c r="M166" t="str">
        <f t="shared" si="20"/>
        <v>DOWN</v>
      </c>
      <c r="N166">
        <v>1.53499841690063E-3</v>
      </c>
      <c r="O166" t="str">
        <f t="shared" si="21"/>
        <v>UP</v>
      </c>
      <c r="P166">
        <v>63.780053963854499</v>
      </c>
      <c r="Q166">
        <v>-1.51875105723557</v>
      </c>
      <c r="R166" t="str">
        <f t="shared" si="22"/>
        <v>DOWN</v>
      </c>
      <c r="S166">
        <v>1.17910003662109</v>
      </c>
      <c r="T166" t="str">
        <f t="shared" si="16"/>
        <v>DOWN</v>
      </c>
      <c r="U166">
        <v>1.17935001850128</v>
      </c>
      <c r="V166" t="str">
        <f t="shared" si="23"/>
        <v>DOWN</v>
      </c>
      <c r="W166">
        <v>1.1800500154495199</v>
      </c>
      <c r="X166" t="str">
        <f t="shared" si="17"/>
        <v>DOWN</v>
      </c>
      <c r="Y166">
        <v>1.1800500154495199</v>
      </c>
      <c r="Z166" t="str">
        <f t="shared" si="18"/>
        <v>DOWN</v>
      </c>
      <c r="AA166">
        <v>0</v>
      </c>
      <c r="AB166">
        <v>0</v>
      </c>
      <c r="AC166">
        <v>0</v>
      </c>
      <c r="AD166">
        <v>0</v>
      </c>
    </row>
    <row r="167" spans="1:30" hidden="1" x14ac:dyDescent="0.35">
      <c r="A167" s="2">
        <v>45884</v>
      </c>
      <c r="B167" t="s">
        <v>27</v>
      </c>
      <c r="C167">
        <v>1.17879998683929</v>
      </c>
      <c r="D167">
        <v>1.17904996871948</v>
      </c>
      <c r="E167">
        <v>1.17859995365142</v>
      </c>
      <c r="F167">
        <v>1.17859995365142</v>
      </c>
      <c r="G167">
        <v>882</v>
      </c>
      <c r="H167">
        <v>1.1791400194168</v>
      </c>
      <c r="I167">
        <v>2.7000904083251899E-4</v>
      </c>
      <c r="J167" t="str">
        <f t="shared" si="19"/>
        <v>UP</v>
      </c>
      <c r="K167">
        <v>1.1773030114173799</v>
      </c>
      <c r="L167" s="1">
        <v>-3.2000541686949499E-5</v>
      </c>
      <c r="M167" t="str">
        <f t="shared" si="20"/>
        <v>DOWN</v>
      </c>
      <c r="N167">
        <v>1.8370079994200999E-3</v>
      </c>
      <c r="O167" t="str">
        <f t="shared" si="21"/>
        <v>UP</v>
      </c>
      <c r="P167">
        <v>62.221553650129998</v>
      </c>
      <c r="Q167">
        <v>-1.5585003137244899</v>
      </c>
      <c r="R167" t="str">
        <f t="shared" si="22"/>
        <v>DOWN</v>
      </c>
      <c r="S167">
        <v>1.1788500547409</v>
      </c>
      <c r="T167" t="str">
        <f t="shared" si="16"/>
        <v>DOWN</v>
      </c>
      <c r="U167">
        <v>1.17910003662109</v>
      </c>
      <c r="V167" t="str">
        <f t="shared" si="23"/>
        <v>DOWN</v>
      </c>
      <c r="W167">
        <v>1.17925000190734</v>
      </c>
      <c r="X167" t="str">
        <f t="shared" si="17"/>
        <v>DOWN</v>
      </c>
      <c r="Y167">
        <v>1.1800500154495199</v>
      </c>
      <c r="Z167" t="str">
        <f t="shared" si="18"/>
        <v>DOWN</v>
      </c>
      <c r="AA167">
        <v>0</v>
      </c>
      <c r="AB167">
        <v>0</v>
      </c>
      <c r="AC167">
        <v>0</v>
      </c>
      <c r="AD167">
        <v>0</v>
      </c>
    </row>
    <row r="168" spans="1:30" hidden="1" x14ac:dyDescent="0.35">
      <c r="A168" s="2">
        <v>45884</v>
      </c>
      <c r="B168" t="s">
        <v>38</v>
      </c>
      <c r="C168">
        <v>1.17900002002716</v>
      </c>
      <c r="D168">
        <v>1.17910003662109</v>
      </c>
      <c r="E168">
        <v>1.17869997024536</v>
      </c>
      <c r="F168">
        <v>1.17894995212554</v>
      </c>
      <c r="G168">
        <v>52</v>
      </c>
      <c r="H168">
        <v>1.1791600227355901</v>
      </c>
      <c r="I168" s="1">
        <v>2.0003318786487799E-5</v>
      </c>
      <c r="J168" t="str">
        <f t="shared" si="19"/>
        <v>UP</v>
      </c>
      <c r="K168">
        <v>1.1772530126571601</v>
      </c>
      <c r="L168" s="1">
        <v>-4.9998760223601801E-5</v>
      </c>
      <c r="M168" t="str">
        <f t="shared" si="20"/>
        <v>DOWN</v>
      </c>
      <c r="N168">
        <v>1.9070100784301901E-3</v>
      </c>
      <c r="O168" t="str">
        <f t="shared" si="21"/>
        <v>UP</v>
      </c>
      <c r="P168">
        <v>63.190210663029099</v>
      </c>
      <c r="Q168">
        <v>0.96865701289909301</v>
      </c>
      <c r="R168" t="str">
        <f t="shared" si="22"/>
        <v>UP</v>
      </c>
      <c r="S168">
        <v>1.17859995365142</v>
      </c>
      <c r="T168" t="str">
        <f t="shared" si="16"/>
        <v>UP</v>
      </c>
      <c r="U168">
        <v>1.1788500547409</v>
      </c>
      <c r="V168" t="str">
        <f t="shared" si="23"/>
        <v>DOWN</v>
      </c>
      <c r="W168">
        <v>1.17904996871948</v>
      </c>
      <c r="X168" t="str">
        <f t="shared" si="17"/>
        <v>UP</v>
      </c>
      <c r="Y168">
        <v>1.17925000190734</v>
      </c>
      <c r="Z168" t="str">
        <f t="shared" si="18"/>
        <v>DOWN</v>
      </c>
      <c r="AA168">
        <v>0</v>
      </c>
      <c r="AB168">
        <v>0</v>
      </c>
      <c r="AC168">
        <v>0</v>
      </c>
      <c r="AD168">
        <v>0</v>
      </c>
    </row>
    <row r="169" spans="1:30" hidden="1" x14ac:dyDescent="0.35">
      <c r="A169" s="2">
        <v>45884</v>
      </c>
      <c r="B169" t="s">
        <v>28</v>
      </c>
      <c r="C169">
        <v>1.17894995212554</v>
      </c>
      <c r="D169">
        <v>1.17900002002716</v>
      </c>
      <c r="E169">
        <v>1.17875003814697</v>
      </c>
      <c r="F169">
        <v>1.17879998683929</v>
      </c>
      <c r="G169">
        <v>6</v>
      </c>
      <c r="H169">
        <v>1.1789900064468299</v>
      </c>
      <c r="I169">
        <v>-1.7001628875723499E-4</v>
      </c>
      <c r="J169" t="str">
        <f t="shared" si="19"/>
        <v>DOWN</v>
      </c>
      <c r="K169">
        <v>1.1772150111198401</v>
      </c>
      <c r="L169" s="1">
        <v>-3.8001537322918097E-5</v>
      </c>
      <c r="M169" t="str">
        <f t="shared" si="20"/>
        <v>DOWN</v>
      </c>
      <c r="N169">
        <v>1.77499532699587E-3</v>
      </c>
      <c r="O169" t="str">
        <f t="shared" si="21"/>
        <v>UP</v>
      </c>
      <c r="P169">
        <v>62.756473651325003</v>
      </c>
      <c r="Q169">
        <v>-0.43373701170406698</v>
      </c>
      <c r="R169" t="str">
        <f t="shared" si="22"/>
        <v>DOWN</v>
      </c>
      <c r="S169">
        <v>1.17869997024536</v>
      </c>
      <c r="T169" t="str">
        <f t="shared" si="16"/>
        <v>UP</v>
      </c>
      <c r="U169">
        <v>1.17859995365142</v>
      </c>
      <c r="V169" t="str">
        <f t="shared" si="23"/>
        <v>UP</v>
      </c>
      <c r="W169">
        <v>1.17910003662109</v>
      </c>
      <c r="X169" t="str">
        <f t="shared" si="17"/>
        <v>DOWN</v>
      </c>
      <c r="Y169">
        <v>1.17904996871948</v>
      </c>
      <c r="Z169" t="str">
        <f t="shared" si="18"/>
        <v>DOWN</v>
      </c>
      <c r="AA169">
        <v>0</v>
      </c>
      <c r="AB169">
        <v>0</v>
      </c>
      <c r="AC169">
        <v>0</v>
      </c>
      <c r="AD169">
        <v>0</v>
      </c>
    </row>
    <row r="170" spans="1:30" hidden="1" x14ac:dyDescent="0.35">
      <c r="A170" s="2">
        <v>45884</v>
      </c>
      <c r="B170" t="s">
        <v>39</v>
      </c>
      <c r="C170">
        <v>1.17910003662109</v>
      </c>
      <c r="D170">
        <v>1.17929995059967</v>
      </c>
      <c r="E170">
        <v>1.1788500547409</v>
      </c>
      <c r="F170">
        <v>1.17929995059967</v>
      </c>
      <c r="G170">
        <v>14</v>
      </c>
      <c r="H170">
        <v>1.1789700031280499</v>
      </c>
      <c r="I170" s="1">
        <v>-2.0003318786709901E-5</v>
      </c>
      <c r="J170" t="str">
        <f t="shared" si="19"/>
        <v>DOWN</v>
      </c>
      <c r="K170">
        <v>1.1771820116042999</v>
      </c>
      <c r="L170" s="1">
        <v>-3.2999515533482698E-5</v>
      </c>
      <c r="M170" t="str">
        <f t="shared" si="20"/>
        <v>DOWN</v>
      </c>
      <c r="N170">
        <v>1.78799152374264E-3</v>
      </c>
      <c r="O170" t="str">
        <f t="shared" si="21"/>
        <v>UP</v>
      </c>
      <c r="P170">
        <v>63.563839562545802</v>
      </c>
      <c r="Q170">
        <v>0.80736591122079904</v>
      </c>
      <c r="R170" t="str">
        <f t="shared" si="22"/>
        <v>UP</v>
      </c>
      <c r="S170">
        <v>1.17875003814697</v>
      </c>
      <c r="T170" t="str">
        <f t="shared" si="16"/>
        <v>UP</v>
      </c>
      <c r="U170">
        <v>1.17869997024536</v>
      </c>
      <c r="V170" t="str">
        <f t="shared" si="23"/>
        <v>UP</v>
      </c>
      <c r="W170">
        <v>1.17900002002716</v>
      </c>
      <c r="X170" t="str">
        <f t="shared" si="17"/>
        <v>UP</v>
      </c>
      <c r="Y170">
        <v>1.17910003662109</v>
      </c>
      <c r="Z170" t="str">
        <f t="shared" si="18"/>
        <v>UP</v>
      </c>
      <c r="AA170">
        <v>0</v>
      </c>
      <c r="AB170">
        <v>0</v>
      </c>
      <c r="AC170">
        <v>0</v>
      </c>
      <c r="AD170">
        <v>0</v>
      </c>
    </row>
    <row r="171" spans="1:30" hidden="1" x14ac:dyDescent="0.35">
      <c r="A171" s="2">
        <v>45886</v>
      </c>
      <c r="B171" t="s">
        <v>40</v>
      </c>
      <c r="C171">
        <v>1.1799999475479099</v>
      </c>
      <c r="D171">
        <v>1.1799999475479099</v>
      </c>
      <c r="E171">
        <v>1.1798499822616499</v>
      </c>
      <c r="F171">
        <v>1.1798499822616499</v>
      </c>
      <c r="G171">
        <v>1</v>
      </c>
      <c r="H171">
        <v>1.1791699886322</v>
      </c>
      <c r="I171">
        <v>1.9998550415056799E-4</v>
      </c>
      <c r="J171" t="str">
        <f t="shared" si="19"/>
        <v>UP</v>
      </c>
      <c r="K171">
        <v>1.17720201015472</v>
      </c>
      <c r="L171" s="1">
        <v>1.99985504150124E-5</v>
      </c>
      <c r="M171" t="str">
        <f t="shared" si="20"/>
        <v>UP</v>
      </c>
      <c r="N171">
        <v>1.9679784774782002E-3</v>
      </c>
      <c r="O171" t="str">
        <f t="shared" si="21"/>
        <v>UP</v>
      </c>
      <c r="P171">
        <v>68.037913121156507</v>
      </c>
      <c r="Q171">
        <v>4.4740735586107299</v>
      </c>
      <c r="R171" t="str">
        <f t="shared" si="22"/>
        <v>UP</v>
      </c>
      <c r="S171">
        <v>1.1788500547409</v>
      </c>
      <c r="T171" t="str">
        <f t="shared" si="16"/>
        <v>UP</v>
      </c>
      <c r="U171">
        <v>1.17875003814697</v>
      </c>
      <c r="V171" t="str">
        <f t="shared" si="23"/>
        <v>UP</v>
      </c>
      <c r="W171">
        <v>1.17929995059967</v>
      </c>
      <c r="X171" t="str">
        <f t="shared" si="17"/>
        <v>UP</v>
      </c>
      <c r="Y171">
        <v>1.17900002002716</v>
      </c>
      <c r="Z171" t="str">
        <f t="shared" si="18"/>
        <v>UP</v>
      </c>
      <c r="AA171">
        <v>1</v>
      </c>
      <c r="AB171">
        <v>0</v>
      </c>
      <c r="AC171">
        <v>0</v>
      </c>
      <c r="AD171">
        <v>0</v>
      </c>
    </row>
    <row r="172" spans="1:30" hidden="1" x14ac:dyDescent="0.35">
      <c r="A172" s="2">
        <v>45886</v>
      </c>
      <c r="B172" t="s">
        <v>42</v>
      </c>
      <c r="C172">
        <v>1.17925000190734</v>
      </c>
      <c r="D172">
        <v>1.17949998378753</v>
      </c>
      <c r="E172">
        <v>1.17925000190734</v>
      </c>
      <c r="F172">
        <v>1.17949998378753</v>
      </c>
      <c r="G172">
        <v>3</v>
      </c>
      <c r="H172">
        <v>1.17925999164581</v>
      </c>
      <c r="I172" s="1">
        <v>9.0003013610839803E-5</v>
      </c>
      <c r="J172" t="str">
        <f t="shared" si="19"/>
        <v>UP</v>
      </c>
      <c r="K172">
        <v>1.17720500946044</v>
      </c>
      <c r="L172" s="1">
        <v>2.9993057251154198E-6</v>
      </c>
      <c r="M172" t="str">
        <f t="shared" si="20"/>
        <v>UP</v>
      </c>
      <c r="N172">
        <v>2.0549821853639199E-3</v>
      </c>
      <c r="O172" t="str">
        <f t="shared" si="21"/>
        <v>UP</v>
      </c>
      <c r="P172">
        <v>61.284320886572502</v>
      </c>
      <c r="Q172">
        <v>-6.7535922345840103</v>
      </c>
      <c r="R172" t="str">
        <f t="shared" si="22"/>
        <v>DOWN</v>
      </c>
      <c r="S172">
        <v>1.1798499822616499</v>
      </c>
      <c r="T172" t="str">
        <f t="shared" si="16"/>
        <v>DOWN</v>
      </c>
      <c r="U172">
        <v>1.1788500547409</v>
      </c>
      <c r="V172" t="str">
        <f t="shared" si="23"/>
        <v>UP</v>
      </c>
      <c r="W172">
        <v>1.1799999475479099</v>
      </c>
      <c r="X172" t="str">
        <f t="shared" si="17"/>
        <v>DOWN</v>
      </c>
      <c r="Y172">
        <v>1.17929995059967</v>
      </c>
      <c r="Z172" t="str">
        <f t="shared" si="18"/>
        <v>UP</v>
      </c>
      <c r="AA172">
        <v>0</v>
      </c>
      <c r="AB172">
        <v>1</v>
      </c>
      <c r="AC172">
        <v>0</v>
      </c>
      <c r="AD172">
        <v>0</v>
      </c>
    </row>
    <row r="173" spans="1:30" hidden="1" x14ac:dyDescent="0.35">
      <c r="A173" s="2">
        <v>45887</v>
      </c>
      <c r="B173" t="s">
        <v>30</v>
      </c>
      <c r="C173">
        <v>1.1785500049591</v>
      </c>
      <c r="D173">
        <v>1.17869997024536</v>
      </c>
      <c r="E173">
        <v>1.1785500049591</v>
      </c>
      <c r="F173">
        <v>1.17869997024536</v>
      </c>
      <c r="G173">
        <v>3</v>
      </c>
      <c r="H173">
        <v>1.1791699886322</v>
      </c>
      <c r="I173" s="1">
        <v>-9.0003013610839803E-5</v>
      </c>
      <c r="J173" t="str">
        <f t="shared" si="19"/>
        <v>DOWN</v>
      </c>
      <c r="K173">
        <v>1.1771590089797901</v>
      </c>
      <c r="L173" s="1">
        <v>-4.6000480651731097E-5</v>
      </c>
      <c r="M173" t="str">
        <f t="shared" si="20"/>
        <v>DOWN</v>
      </c>
      <c r="N173">
        <v>2.0109796524048198E-3</v>
      </c>
      <c r="O173" t="str">
        <f t="shared" si="21"/>
        <v>UP</v>
      </c>
      <c r="P173">
        <v>55.724263973405499</v>
      </c>
      <c r="Q173">
        <v>-5.5600569131669699</v>
      </c>
      <c r="R173" t="str">
        <f t="shared" si="22"/>
        <v>DOWN</v>
      </c>
      <c r="S173">
        <v>1.17925000190734</v>
      </c>
      <c r="T173" t="str">
        <f t="shared" si="16"/>
        <v>DOWN</v>
      </c>
      <c r="U173">
        <v>1.1798499822616499</v>
      </c>
      <c r="V173" t="str">
        <f t="shared" si="23"/>
        <v>DOWN</v>
      </c>
      <c r="W173">
        <v>1.17949998378753</v>
      </c>
      <c r="X173" t="str">
        <f t="shared" si="17"/>
        <v>DOWN</v>
      </c>
      <c r="Y173">
        <v>1.1799999475479099</v>
      </c>
      <c r="Z173" t="str">
        <f t="shared" si="18"/>
        <v>DOWN</v>
      </c>
      <c r="AA173">
        <v>0</v>
      </c>
      <c r="AB173">
        <v>0</v>
      </c>
      <c r="AC173">
        <v>0</v>
      </c>
      <c r="AD173">
        <v>0</v>
      </c>
    </row>
    <row r="174" spans="1:30" hidden="1" x14ac:dyDescent="0.35">
      <c r="A174" s="2">
        <v>45887</v>
      </c>
      <c r="B174" t="s">
        <v>31</v>
      </c>
      <c r="C174">
        <v>1.17850005626678</v>
      </c>
      <c r="D174">
        <v>1.17850005626678</v>
      </c>
      <c r="E174">
        <v>1.17850005626678</v>
      </c>
      <c r="F174">
        <v>1.17850005626678</v>
      </c>
      <c r="G174">
        <v>1</v>
      </c>
      <c r="H174">
        <v>1.1790800094604399</v>
      </c>
      <c r="I174" s="1">
        <v>-8.9979171753018505E-5</v>
      </c>
      <c r="J174" t="str">
        <f t="shared" si="19"/>
        <v>DOWN</v>
      </c>
      <c r="K174">
        <v>1.17710601091384</v>
      </c>
      <c r="L174" s="1">
        <v>-5.2998065948495203E-5</v>
      </c>
      <c r="M174" t="str">
        <f t="shared" si="20"/>
        <v>DOWN</v>
      </c>
      <c r="N174">
        <v>1.97399854660029E-3</v>
      </c>
      <c r="O174" t="str">
        <f t="shared" si="21"/>
        <v>UP</v>
      </c>
      <c r="P174">
        <v>55.338457449052903</v>
      </c>
      <c r="Q174">
        <v>-0.38580652435267299</v>
      </c>
      <c r="R174" t="str">
        <f t="shared" si="22"/>
        <v>DOWN</v>
      </c>
      <c r="S174">
        <v>1.1785500049591</v>
      </c>
      <c r="T174" t="str">
        <f t="shared" si="16"/>
        <v>DOWN</v>
      </c>
      <c r="U174">
        <v>1.17925000190734</v>
      </c>
      <c r="V174" t="str">
        <f t="shared" si="23"/>
        <v>DOWN</v>
      </c>
      <c r="W174">
        <v>1.17869997024536</v>
      </c>
      <c r="X174" t="str">
        <f t="shared" si="17"/>
        <v>DOWN</v>
      </c>
      <c r="Y174">
        <v>1.17949998378753</v>
      </c>
      <c r="Z174" t="str">
        <f t="shared" si="18"/>
        <v>DOWN</v>
      </c>
      <c r="AA174">
        <v>0</v>
      </c>
      <c r="AB174">
        <v>0</v>
      </c>
      <c r="AC174">
        <v>0</v>
      </c>
      <c r="AD174">
        <v>0</v>
      </c>
    </row>
    <row r="175" spans="1:30" hidden="1" x14ac:dyDescent="0.35">
      <c r="A175" s="2">
        <v>45887</v>
      </c>
      <c r="B175" t="s">
        <v>32</v>
      </c>
      <c r="C175">
        <v>1.17900002002716</v>
      </c>
      <c r="D175">
        <v>1.17900002002716</v>
      </c>
      <c r="E175">
        <v>1.17900002002716</v>
      </c>
      <c r="F175">
        <v>1.17900002002716</v>
      </c>
      <c r="G175">
        <v>1</v>
      </c>
      <c r="H175">
        <v>1.1790600061416601</v>
      </c>
      <c r="I175" s="1">
        <v>-2.0003318786709901E-5</v>
      </c>
      <c r="J175" t="str">
        <f t="shared" si="19"/>
        <v>DOWN</v>
      </c>
      <c r="K175">
        <v>1.1770850110054001</v>
      </c>
      <c r="L175" s="1">
        <v>-2.09999084472833E-5</v>
      </c>
      <c r="M175" t="str">
        <f t="shared" si="20"/>
        <v>DOWN</v>
      </c>
      <c r="N175">
        <v>1.97499513626087E-3</v>
      </c>
      <c r="O175" t="str">
        <f t="shared" si="21"/>
        <v>UP</v>
      </c>
      <c r="P175">
        <v>58.440146927817302</v>
      </c>
      <c r="Q175">
        <v>3.1016894787643898</v>
      </c>
      <c r="R175" t="str">
        <f t="shared" si="22"/>
        <v>UP</v>
      </c>
      <c r="S175">
        <v>1.17850005626678</v>
      </c>
      <c r="T175" t="str">
        <f t="shared" si="16"/>
        <v>UP</v>
      </c>
      <c r="U175">
        <v>1.1785500049591</v>
      </c>
      <c r="V175" t="str">
        <f t="shared" si="23"/>
        <v>UP</v>
      </c>
      <c r="W175">
        <v>1.17850005626678</v>
      </c>
      <c r="X175" t="str">
        <f t="shared" si="17"/>
        <v>UP</v>
      </c>
      <c r="Y175">
        <v>1.17869997024536</v>
      </c>
      <c r="Z175" t="str">
        <f t="shared" si="18"/>
        <v>UP</v>
      </c>
      <c r="AA175">
        <v>0</v>
      </c>
      <c r="AB175">
        <v>0</v>
      </c>
      <c r="AC175">
        <v>0</v>
      </c>
      <c r="AD175">
        <v>0</v>
      </c>
    </row>
    <row r="176" spans="1:30" hidden="1" x14ac:dyDescent="0.35">
      <c r="A176" s="2">
        <v>45887</v>
      </c>
      <c r="B176" t="s">
        <v>33</v>
      </c>
      <c r="C176">
        <v>1.17920005321502</v>
      </c>
      <c r="D176">
        <v>1.17920005321502</v>
      </c>
      <c r="E176">
        <v>1.17914998531341</v>
      </c>
      <c r="F176">
        <v>1.17914998531341</v>
      </c>
      <c r="G176">
        <v>11</v>
      </c>
      <c r="H176">
        <v>1.17890002727508</v>
      </c>
      <c r="I176">
        <v>-1.59978866577148E-4</v>
      </c>
      <c r="J176" t="str">
        <f t="shared" si="19"/>
        <v>DOWN</v>
      </c>
      <c r="K176">
        <v>1.1770820116996701</v>
      </c>
      <c r="L176" s="1">
        <v>-2.9993057251154198E-6</v>
      </c>
      <c r="M176" t="str">
        <f t="shared" si="20"/>
        <v>DOWN</v>
      </c>
      <c r="N176">
        <v>1.81801557540883E-3</v>
      </c>
      <c r="O176" t="str">
        <f t="shared" si="21"/>
        <v>UP</v>
      </c>
      <c r="P176">
        <v>59.6476321803299</v>
      </c>
      <c r="Q176">
        <v>1.2074852525126001</v>
      </c>
      <c r="R176" t="str">
        <f t="shared" si="22"/>
        <v>UP</v>
      </c>
      <c r="S176">
        <v>1.17900002002716</v>
      </c>
      <c r="T176" t="str">
        <f t="shared" si="16"/>
        <v>UP</v>
      </c>
      <c r="U176">
        <v>1.17850005626678</v>
      </c>
      <c r="V176" t="str">
        <f t="shared" si="23"/>
        <v>UP</v>
      </c>
      <c r="W176">
        <v>1.17900002002716</v>
      </c>
      <c r="X176" t="str">
        <f t="shared" si="17"/>
        <v>UP</v>
      </c>
      <c r="Y176">
        <v>1.17850005626678</v>
      </c>
      <c r="Z176" t="str">
        <f t="shared" si="18"/>
        <v>UP</v>
      </c>
      <c r="AA176">
        <v>1</v>
      </c>
      <c r="AB176">
        <v>0</v>
      </c>
      <c r="AC176">
        <v>0</v>
      </c>
      <c r="AD176">
        <v>0</v>
      </c>
    </row>
    <row r="177" spans="1:30" hidden="1" x14ac:dyDescent="0.35">
      <c r="A177" s="2">
        <v>45887</v>
      </c>
      <c r="B177" t="s">
        <v>41</v>
      </c>
      <c r="C177">
        <v>1.1788500547409</v>
      </c>
      <c r="D177">
        <v>1.17904996871948</v>
      </c>
      <c r="E177">
        <v>1.1788500547409</v>
      </c>
      <c r="F177">
        <v>1.17904996871948</v>
      </c>
      <c r="G177">
        <v>8</v>
      </c>
      <c r="H177">
        <v>1.1788200378417899</v>
      </c>
      <c r="I177" s="1">
        <v>-7.9989433288574205E-5</v>
      </c>
      <c r="J177" t="str">
        <f t="shared" si="19"/>
        <v>DOWN</v>
      </c>
      <c r="K177">
        <v>1.1770860123634299</v>
      </c>
      <c r="L177" s="1">
        <v>4.0006637573863904E-6</v>
      </c>
      <c r="M177" t="str">
        <f t="shared" si="20"/>
        <v>UP</v>
      </c>
      <c r="N177">
        <v>1.7340254783628701E-3</v>
      </c>
      <c r="O177" t="str">
        <f t="shared" si="21"/>
        <v>UP</v>
      </c>
      <c r="P177">
        <v>56.551626761147297</v>
      </c>
      <c r="Q177">
        <v>-3.0960054191825499</v>
      </c>
      <c r="R177" t="str">
        <f t="shared" si="22"/>
        <v>DOWN</v>
      </c>
      <c r="S177">
        <v>1.17914998531341</v>
      </c>
      <c r="T177" t="str">
        <f t="shared" si="16"/>
        <v>DOWN</v>
      </c>
      <c r="U177">
        <v>1.17900002002716</v>
      </c>
      <c r="V177" t="str">
        <f t="shared" si="23"/>
        <v>DOWN</v>
      </c>
      <c r="W177">
        <v>1.17920005321502</v>
      </c>
      <c r="X177" t="str">
        <f t="shared" si="17"/>
        <v>DOWN</v>
      </c>
      <c r="Y177">
        <v>1.17900002002716</v>
      </c>
      <c r="Z177" t="str">
        <f t="shared" si="18"/>
        <v>UP</v>
      </c>
      <c r="AA177">
        <v>0</v>
      </c>
      <c r="AB177">
        <v>0</v>
      </c>
      <c r="AC177">
        <v>0</v>
      </c>
      <c r="AD177">
        <v>0</v>
      </c>
    </row>
    <row r="178" spans="1:30" hidden="1" x14ac:dyDescent="0.35">
      <c r="A178" s="2">
        <v>45887</v>
      </c>
      <c r="B178" t="s">
        <v>34</v>
      </c>
      <c r="C178">
        <v>1.17799997329711</v>
      </c>
      <c r="D178">
        <v>1.1788500547409</v>
      </c>
      <c r="E178">
        <v>1.17799997329711</v>
      </c>
      <c r="F178">
        <v>1.1788500547409</v>
      </c>
      <c r="G178">
        <v>8</v>
      </c>
      <c r="H178">
        <v>1.1787100315093899</v>
      </c>
      <c r="I178">
        <v>-1.1000633239732701E-4</v>
      </c>
      <c r="J178" t="str">
        <f t="shared" si="19"/>
        <v>DOWN</v>
      </c>
      <c r="K178">
        <v>1.17707201242446</v>
      </c>
      <c r="L178" s="1">
        <v>-1.39999389650036E-5</v>
      </c>
      <c r="M178" t="str">
        <f t="shared" si="20"/>
        <v>DOWN</v>
      </c>
      <c r="N178">
        <v>1.6380190849305499E-3</v>
      </c>
      <c r="O178" t="str">
        <f t="shared" si="21"/>
        <v>UP</v>
      </c>
      <c r="P178">
        <v>49.791665243093</v>
      </c>
      <c r="Q178">
        <v>-6.7599615180542596</v>
      </c>
      <c r="R178" t="str">
        <f t="shared" si="22"/>
        <v>DOWN</v>
      </c>
      <c r="S178">
        <v>1.1788500547409</v>
      </c>
      <c r="T178" t="str">
        <f t="shared" si="16"/>
        <v>DOWN</v>
      </c>
      <c r="U178">
        <v>1.17914998531341</v>
      </c>
      <c r="V178" t="str">
        <f t="shared" si="23"/>
        <v>DOWN</v>
      </c>
      <c r="W178">
        <v>1.17904996871948</v>
      </c>
      <c r="X178" t="str">
        <f t="shared" si="17"/>
        <v>DOWN</v>
      </c>
      <c r="Y178">
        <v>1.17920005321502</v>
      </c>
      <c r="Z178" t="str">
        <f t="shared" si="18"/>
        <v>DOWN</v>
      </c>
      <c r="AA178">
        <v>0</v>
      </c>
      <c r="AB178">
        <v>0</v>
      </c>
      <c r="AC178">
        <v>0</v>
      </c>
      <c r="AD178">
        <v>0</v>
      </c>
    </row>
    <row r="179" spans="1:30" hidden="1" x14ac:dyDescent="0.35">
      <c r="A179" s="2">
        <v>45887</v>
      </c>
      <c r="B179" t="s">
        <v>35</v>
      </c>
      <c r="C179">
        <v>1.1770000457763601</v>
      </c>
      <c r="D179">
        <v>1.1785500049591</v>
      </c>
      <c r="E179">
        <v>1.1770000457763601</v>
      </c>
      <c r="F179">
        <v>1.17830002307891</v>
      </c>
      <c r="G179">
        <v>12</v>
      </c>
      <c r="H179">
        <v>1.17841002941131</v>
      </c>
      <c r="I179">
        <v>-3.0000209808345098E-4</v>
      </c>
      <c r="J179" t="str">
        <f t="shared" si="19"/>
        <v>DOWN</v>
      </c>
      <c r="K179">
        <v>1.1770240139961201</v>
      </c>
      <c r="L179" s="1">
        <v>-4.7998428344575498E-5</v>
      </c>
      <c r="M179" t="str">
        <f t="shared" si="20"/>
        <v>DOWN</v>
      </c>
      <c r="N179">
        <v>1.3860154151916701E-3</v>
      </c>
      <c r="O179" t="str">
        <f t="shared" si="21"/>
        <v>UP</v>
      </c>
      <c r="P179">
        <v>43.243591703116898</v>
      </c>
      <c r="Q179">
        <v>-6.5480735399761896</v>
      </c>
      <c r="R179" t="str">
        <f t="shared" si="22"/>
        <v>DOWN</v>
      </c>
      <c r="S179">
        <v>1.17799997329711</v>
      </c>
      <c r="T179" t="str">
        <f t="shared" si="16"/>
        <v>DOWN</v>
      </c>
      <c r="U179">
        <v>1.1788500547409</v>
      </c>
      <c r="V179" t="str">
        <f t="shared" si="23"/>
        <v>DOWN</v>
      </c>
      <c r="W179">
        <v>1.1788500547409</v>
      </c>
      <c r="X179" t="str">
        <f t="shared" si="17"/>
        <v>DOWN</v>
      </c>
      <c r="Y179">
        <v>1.17904996871948</v>
      </c>
      <c r="Z179" t="str">
        <f t="shared" si="18"/>
        <v>DOWN</v>
      </c>
      <c r="AA179">
        <v>0</v>
      </c>
      <c r="AB179">
        <v>0</v>
      </c>
      <c r="AC179">
        <v>0</v>
      </c>
      <c r="AD179">
        <v>0</v>
      </c>
    </row>
    <row r="180" spans="1:30" hidden="1" x14ac:dyDescent="0.35">
      <c r="A180" s="2">
        <v>45887</v>
      </c>
      <c r="B180" t="s">
        <v>36</v>
      </c>
      <c r="C180">
        <v>1.1769499778747501</v>
      </c>
      <c r="D180">
        <v>1.1771999597549401</v>
      </c>
      <c r="E180">
        <v>1.1757500171661299</v>
      </c>
      <c r="F180">
        <v>1.1758999824523899</v>
      </c>
      <c r="G180">
        <v>15</v>
      </c>
      <c r="H180">
        <v>1.1780000209808299</v>
      </c>
      <c r="I180">
        <v>-4.1000843048100101E-4</v>
      </c>
      <c r="J180" t="str">
        <f t="shared" si="19"/>
        <v>DOWN</v>
      </c>
      <c r="K180">
        <v>1.1769710135459901</v>
      </c>
      <c r="L180" s="1">
        <v>-5.3000450134232901E-5</v>
      </c>
      <c r="M180" t="str">
        <f t="shared" si="20"/>
        <v>DOWN</v>
      </c>
      <c r="N180">
        <v>1.0290074348449001E-3</v>
      </c>
      <c r="O180" t="str">
        <f t="shared" si="21"/>
        <v>UP</v>
      </c>
      <c r="P180">
        <v>42.939093091624002</v>
      </c>
      <c r="Q180">
        <v>-0.30449861149281698</v>
      </c>
      <c r="R180" t="str">
        <f t="shared" si="22"/>
        <v>DOWN</v>
      </c>
      <c r="S180">
        <v>1.1770000457763601</v>
      </c>
      <c r="T180" t="str">
        <f t="shared" si="16"/>
        <v>DOWN</v>
      </c>
      <c r="U180">
        <v>1.17799997329711</v>
      </c>
      <c r="V180" t="str">
        <f t="shared" si="23"/>
        <v>DOWN</v>
      </c>
      <c r="W180">
        <v>1.1785500049591</v>
      </c>
      <c r="X180" t="str">
        <f t="shared" si="17"/>
        <v>DOWN</v>
      </c>
      <c r="Y180">
        <v>1.1788500547409</v>
      </c>
      <c r="Z180" t="str">
        <f t="shared" si="18"/>
        <v>DOWN</v>
      </c>
      <c r="AA180">
        <v>0</v>
      </c>
      <c r="AB180">
        <v>0</v>
      </c>
      <c r="AC180">
        <v>0</v>
      </c>
      <c r="AD180">
        <v>0</v>
      </c>
    </row>
    <row r="181" spans="1:30" hidden="1" x14ac:dyDescent="0.35">
      <c r="A181" s="2">
        <v>45887</v>
      </c>
      <c r="B181" t="s">
        <v>37</v>
      </c>
      <c r="C181">
        <v>1.1765999794006301</v>
      </c>
      <c r="D181">
        <v>1.1771999597549401</v>
      </c>
      <c r="E181">
        <v>1.1763499975204399</v>
      </c>
      <c r="F181">
        <v>1.1763499975204399</v>
      </c>
      <c r="G181">
        <v>6</v>
      </c>
      <c r="H181">
        <v>1.17748000621795</v>
      </c>
      <c r="I181">
        <v>-5.2001476287855098E-4</v>
      </c>
      <c r="J181" t="str">
        <f t="shared" si="19"/>
        <v>DOWN</v>
      </c>
      <c r="K181">
        <v>1.1769130134582499</v>
      </c>
      <c r="L181" s="1">
        <v>-5.8000087738152498E-5</v>
      </c>
      <c r="M181" t="str">
        <f t="shared" si="20"/>
        <v>DOWN</v>
      </c>
      <c r="N181">
        <v>5.6699275970450904E-4</v>
      </c>
      <c r="O181" t="str">
        <f t="shared" si="21"/>
        <v>UP</v>
      </c>
      <c r="P181">
        <v>40.777492175691997</v>
      </c>
      <c r="Q181">
        <v>-2.1616009159319902</v>
      </c>
      <c r="R181" t="str">
        <f t="shared" si="22"/>
        <v>DOWN</v>
      </c>
      <c r="S181">
        <v>1.1757500171661299</v>
      </c>
      <c r="T181" t="str">
        <f t="shared" si="16"/>
        <v>UP</v>
      </c>
      <c r="U181">
        <v>1.1770000457763601</v>
      </c>
      <c r="V181" t="str">
        <f t="shared" si="23"/>
        <v>DOWN</v>
      </c>
      <c r="W181">
        <v>1.1771999597549401</v>
      </c>
      <c r="X181" t="str">
        <f t="shared" si="17"/>
        <v>DOWN</v>
      </c>
      <c r="Y181">
        <v>1.1785500049591</v>
      </c>
      <c r="Z181" t="str">
        <f t="shared" si="18"/>
        <v>DOWN</v>
      </c>
      <c r="AA181">
        <v>0</v>
      </c>
      <c r="AB181">
        <v>0</v>
      </c>
      <c r="AC181">
        <v>0</v>
      </c>
      <c r="AD181">
        <v>0</v>
      </c>
    </row>
    <row r="182" spans="1:30" hidden="1" x14ac:dyDescent="0.35">
      <c r="A182" s="2">
        <v>45887</v>
      </c>
      <c r="B182" t="s">
        <v>20</v>
      </c>
      <c r="C182">
        <v>1.1767499446868801</v>
      </c>
      <c r="D182">
        <v>1.1768499612808201</v>
      </c>
      <c r="E182">
        <v>1.1765500307083101</v>
      </c>
      <c r="F182">
        <v>1.1765999794006301</v>
      </c>
      <c r="G182">
        <v>14</v>
      </c>
      <c r="H182">
        <v>1.1770599842071501</v>
      </c>
      <c r="I182">
        <v>-4.2002201080304502E-4</v>
      </c>
      <c r="J182" t="str">
        <f t="shared" si="19"/>
        <v>DOWN</v>
      </c>
      <c r="K182">
        <v>1.1768520116806001</v>
      </c>
      <c r="L182" s="1">
        <v>-6.1001777649005697E-5</v>
      </c>
      <c r="M182" t="str">
        <f t="shared" si="20"/>
        <v>DOWN</v>
      </c>
      <c r="N182">
        <v>2.0797252655047001E-4</v>
      </c>
      <c r="O182" t="str">
        <f t="shared" si="21"/>
        <v>UP</v>
      </c>
      <c r="P182">
        <v>42.121945852418897</v>
      </c>
      <c r="Q182">
        <v>1.34445367672681</v>
      </c>
      <c r="R182" t="str">
        <f t="shared" si="22"/>
        <v>UP</v>
      </c>
      <c r="S182">
        <v>1.1763499975204399</v>
      </c>
      <c r="T182" t="str">
        <f t="shared" si="16"/>
        <v>UP</v>
      </c>
      <c r="U182">
        <v>1.1757500171661299</v>
      </c>
      <c r="V182" t="str">
        <f t="shared" si="23"/>
        <v>UP</v>
      </c>
      <c r="W182">
        <v>1.1771999597549401</v>
      </c>
      <c r="X182" t="str">
        <f t="shared" si="17"/>
        <v>DOWN</v>
      </c>
      <c r="Y182">
        <v>1.1771999597549401</v>
      </c>
      <c r="Z182" t="str">
        <f t="shared" si="18"/>
        <v>DOWN</v>
      </c>
      <c r="AA182">
        <v>0</v>
      </c>
      <c r="AB182">
        <v>0</v>
      </c>
      <c r="AC182">
        <v>0</v>
      </c>
      <c r="AD182">
        <v>0</v>
      </c>
    </row>
    <row r="183" spans="1:30" hidden="1" x14ac:dyDescent="0.35">
      <c r="A183" s="2">
        <v>45887</v>
      </c>
      <c r="B183" t="s">
        <v>21</v>
      </c>
      <c r="C183">
        <v>1.1762000322341899</v>
      </c>
      <c r="D183">
        <v>1.1773500442504801</v>
      </c>
      <c r="E183">
        <v>1.1762000322341899</v>
      </c>
      <c r="F183">
        <v>1.1770999431610101</v>
      </c>
      <c r="G183">
        <v>11</v>
      </c>
      <c r="H183">
        <v>1.1766999959945601</v>
      </c>
      <c r="I183">
        <v>-3.5998821258553798E-4</v>
      </c>
      <c r="J183" t="str">
        <f t="shared" si="19"/>
        <v>DOWN</v>
      </c>
      <c r="K183">
        <v>1.17677301168441</v>
      </c>
      <c r="L183" s="1">
        <v>-7.8999996185213903E-5</v>
      </c>
      <c r="M183" t="str">
        <f t="shared" si="20"/>
        <v>DOWN</v>
      </c>
      <c r="N183" s="1">
        <v>-7.3015689849853502E-5</v>
      </c>
      <c r="O183" t="str">
        <f t="shared" si="21"/>
        <v>DOWN</v>
      </c>
      <c r="P183">
        <v>38.656427072112301</v>
      </c>
      <c r="Q183">
        <v>-3.4655187803065801</v>
      </c>
      <c r="R183" t="str">
        <f t="shared" si="22"/>
        <v>DOWN</v>
      </c>
      <c r="S183">
        <v>1.1765500307083101</v>
      </c>
      <c r="T183" t="str">
        <f t="shared" si="16"/>
        <v>DOWN</v>
      </c>
      <c r="U183">
        <v>1.1763499975204399</v>
      </c>
      <c r="V183" t="str">
        <f t="shared" si="23"/>
        <v>DOWN</v>
      </c>
      <c r="W183">
        <v>1.1768499612808201</v>
      </c>
      <c r="X183" t="str">
        <f t="shared" si="17"/>
        <v>UP</v>
      </c>
      <c r="Y183">
        <v>1.1771999597549401</v>
      </c>
      <c r="Z183" t="str">
        <f t="shared" si="18"/>
        <v>UP</v>
      </c>
      <c r="AA183">
        <v>0</v>
      </c>
      <c r="AB183">
        <v>0</v>
      </c>
      <c r="AC183">
        <v>0</v>
      </c>
      <c r="AD183">
        <v>0</v>
      </c>
    </row>
    <row r="184" spans="1:30" hidden="1" x14ac:dyDescent="0.35">
      <c r="A184" s="2">
        <v>45887</v>
      </c>
      <c r="B184" t="s">
        <v>22</v>
      </c>
      <c r="C184">
        <v>1.1757999658584499</v>
      </c>
      <c r="D184">
        <v>1.1763499975204399</v>
      </c>
      <c r="E184">
        <v>1.1755000352859399</v>
      </c>
      <c r="F184">
        <v>1.1762499809265099</v>
      </c>
      <c r="G184">
        <v>22</v>
      </c>
      <c r="H184">
        <v>1.1764599800109801</v>
      </c>
      <c r="I184">
        <v>-2.40015983581587E-4</v>
      </c>
      <c r="J184" t="str">
        <f t="shared" si="19"/>
        <v>DOWN</v>
      </c>
      <c r="K184">
        <v>1.1767120099067601</v>
      </c>
      <c r="L184" s="1">
        <v>-6.1001777649005697E-5</v>
      </c>
      <c r="M184" t="str">
        <f t="shared" si="20"/>
        <v>DOWN</v>
      </c>
      <c r="N184">
        <v>-2.5202989578243501E-4</v>
      </c>
      <c r="O184" t="str">
        <f t="shared" si="21"/>
        <v>DOWN</v>
      </c>
      <c r="P184">
        <v>36.315565038317203</v>
      </c>
      <c r="Q184">
        <v>-2.3408620337950401</v>
      </c>
      <c r="R184" t="str">
        <f t="shared" si="22"/>
        <v>DOWN</v>
      </c>
      <c r="S184">
        <v>1.1762000322341899</v>
      </c>
      <c r="T184" t="str">
        <f t="shared" si="16"/>
        <v>DOWN</v>
      </c>
      <c r="U184">
        <v>1.1765500307083101</v>
      </c>
      <c r="V184" t="str">
        <f t="shared" si="23"/>
        <v>DOWN</v>
      </c>
      <c r="W184">
        <v>1.1773500442504801</v>
      </c>
      <c r="X184" t="str">
        <f t="shared" si="17"/>
        <v>DOWN</v>
      </c>
      <c r="Y184">
        <v>1.1768499612808201</v>
      </c>
      <c r="Z184" t="str">
        <f t="shared" si="18"/>
        <v>DOWN</v>
      </c>
      <c r="AA184">
        <v>0</v>
      </c>
      <c r="AB184">
        <v>0</v>
      </c>
      <c r="AC184">
        <v>0</v>
      </c>
      <c r="AD184">
        <v>0</v>
      </c>
    </row>
    <row r="185" spans="1:30" hidden="1" x14ac:dyDescent="0.35">
      <c r="A185" s="2">
        <v>45887</v>
      </c>
      <c r="B185" t="s">
        <v>23</v>
      </c>
      <c r="C185">
        <v>1.1763000488281199</v>
      </c>
      <c r="D185">
        <v>1.1763000488281199</v>
      </c>
      <c r="E185">
        <v>1.1757999658584499</v>
      </c>
      <c r="F185">
        <v>1.1760499477386399</v>
      </c>
      <c r="G185">
        <v>121</v>
      </c>
      <c r="H185">
        <v>1.1763299942016601</v>
      </c>
      <c r="I185">
        <v>-1.2998580932621601E-4</v>
      </c>
      <c r="J185" t="str">
        <f t="shared" si="19"/>
        <v>DOWN</v>
      </c>
      <c r="K185">
        <v>1.17665801048278</v>
      </c>
      <c r="L185" s="1">
        <v>-5.3999423980544103E-5</v>
      </c>
      <c r="M185" t="str">
        <f t="shared" si="20"/>
        <v>DOWN</v>
      </c>
      <c r="N185">
        <v>-3.28016281128107E-4</v>
      </c>
      <c r="O185" t="str">
        <f t="shared" si="21"/>
        <v>DOWN</v>
      </c>
      <c r="P185">
        <v>41.115647594011797</v>
      </c>
      <c r="Q185">
        <v>4.8000825556945799</v>
      </c>
      <c r="R185" t="str">
        <f t="shared" si="22"/>
        <v>UP</v>
      </c>
      <c r="S185">
        <v>1.1755000352859399</v>
      </c>
      <c r="T185" t="str">
        <f t="shared" si="16"/>
        <v>UP</v>
      </c>
      <c r="U185">
        <v>1.1762000322341899</v>
      </c>
      <c r="V185" t="str">
        <f t="shared" si="23"/>
        <v>DOWN</v>
      </c>
      <c r="W185">
        <v>1.1763499975204399</v>
      </c>
      <c r="X185" t="str">
        <f t="shared" si="17"/>
        <v>DOWN</v>
      </c>
      <c r="Y185">
        <v>1.1773500442504801</v>
      </c>
      <c r="Z185" t="str">
        <f t="shared" si="18"/>
        <v>DOWN</v>
      </c>
      <c r="AA185">
        <v>0</v>
      </c>
      <c r="AB185">
        <v>0</v>
      </c>
      <c r="AC185">
        <v>0</v>
      </c>
      <c r="AD185">
        <v>0</v>
      </c>
    </row>
    <row r="186" spans="1:30" hidden="1" x14ac:dyDescent="0.35">
      <c r="A186" s="2">
        <v>45887</v>
      </c>
      <c r="B186" t="s">
        <v>24</v>
      </c>
      <c r="C186">
        <v>1.17499995231628</v>
      </c>
      <c r="D186">
        <v>1.1770000457763601</v>
      </c>
      <c r="E186">
        <v>1.17499995231628</v>
      </c>
      <c r="F186">
        <v>1.1764500141143699</v>
      </c>
      <c r="G186">
        <v>62</v>
      </c>
      <c r="H186">
        <v>1.1760099887847899</v>
      </c>
      <c r="I186">
        <v>-3.2000541686993901E-4</v>
      </c>
      <c r="J186" t="str">
        <f t="shared" si="19"/>
        <v>DOWN</v>
      </c>
      <c r="K186">
        <v>1.17657800912857</v>
      </c>
      <c r="L186" s="1">
        <v>-8.0001354217706905E-5</v>
      </c>
      <c r="M186" t="str">
        <f t="shared" si="20"/>
        <v>DOWN</v>
      </c>
      <c r="N186">
        <v>-5.6802034378033897E-4</v>
      </c>
      <c r="O186" t="str">
        <f t="shared" si="21"/>
        <v>DOWN</v>
      </c>
      <c r="P186">
        <v>33.9511177608195</v>
      </c>
      <c r="Q186">
        <v>-7.1645298331923204</v>
      </c>
      <c r="R186" t="str">
        <f t="shared" si="22"/>
        <v>DOWN</v>
      </c>
      <c r="S186">
        <v>1.1757999658584499</v>
      </c>
      <c r="T186" t="str">
        <f t="shared" si="16"/>
        <v>DOWN</v>
      </c>
      <c r="U186">
        <v>1.1755000352859399</v>
      </c>
      <c r="V186" t="str">
        <f t="shared" si="23"/>
        <v>DOWN</v>
      </c>
      <c r="W186">
        <v>1.1763000488281199</v>
      </c>
      <c r="X186" t="str">
        <f t="shared" si="17"/>
        <v>UP</v>
      </c>
      <c r="Y186">
        <v>1.1763499975204399</v>
      </c>
      <c r="Z186" t="str">
        <f t="shared" si="18"/>
        <v>UP</v>
      </c>
      <c r="AA186">
        <v>0</v>
      </c>
      <c r="AB186">
        <v>0</v>
      </c>
      <c r="AC186">
        <v>0</v>
      </c>
      <c r="AD186">
        <v>0</v>
      </c>
    </row>
    <row r="187" spans="1:30" hidden="1" x14ac:dyDescent="0.35">
      <c r="A187" s="2">
        <v>45887</v>
      </c>
      <c r="B187" t="s">
        <v>25</v>
      </c>
      <c r="C187">
        <v>1.1753499507903999</v>
      </c>
      <c r="D187">
        <v>1.1756500005721999</v>
      </c>
      <c r="E187">
        <v>1.17484998703002</v>
      </c>
      <c r="F187">
        <v>1.17499995231628</v>
      </c>
      <c r="G187">
        <v>24</v>
      </c>
      <c r="H187">
        <v>1.1757299900054901</v>
      </c>
      <c r="I187">
        <v>-2.79998779296963E-4</v>
      </c>
      <c r="J187" t="str">
        <f t="shared" si="19"/>
        <v>DOWN</v>
      </c>
      <c r="K187">
        <v>1.1765380072593601</v>
      </c>
      <c r="L187" s="1">
        <v>-4.0001869201500203E-5</v>
      </c>
      <c r="M187" t="str">
        <f t="shared" si="20"/>
        <v>DOWN</v>
      </c>
      <c r="N187">
        <v>-8.0801725387580304E-4</v>
      </c>
      <c r="O187" t="str">
        <f t="shared" si="21"/>
        <v>DOWN</v>
      </c>
      <c r="P187">
        <v>37.127387021627797</v>
      </c>
      <c r="Q187">
        <v>3.1762692608083398</v>
      </c>
      <c r="R187" t="str">
        <f t="shared" si="22"/>
        <v>UP</v>
      </c>
      <c r="S187">
        <v>1.17499995231628</v>
      </c>
      <c r="T187" t="str">
        <f t="shared" si="16"/>
        <v>DOWN</v>
      </c>
      <c r="U187">
        <v>1.1757999658584499</v>
      </c>
      <c r="V187" t="str">
        <f t="shared" si="23"/>
        <v>DOWN</v>
      </c>
      <c r="W187">
        <v>1.1770000457763601</v>
      </c>
      <c r="X187" t="str">
        <f t="shared" si="17"/>
        <v>DOWN</v>
      </c>
      <c r="Y187">
        <v>1.1763000488281199</v>
      </c>
      <c r="Z187" t="str">
        <f t="shared" si="18"/>
        <v>DOWN</v>
      </c>
      <c r="AA187">
        <v>0</v>
      </c>
      <c r="AB187">
        <v>0</v>
      </c>
      <c r="AC187">
        <v>0</v>
      </c>
      <c r="AD187">
        <v>0</v>
      </c>
    </row>
    <row r="188" spans="1:30" hidden="1" x14ac:dyDescent="0.35">
      <c r="A188" s="2">
        <v>45887</v>
      </c>
      <c r="B188" t="s">
        <v>26</v>
      </c>
      <c r="C188">
        <v>1.17505002021789</v>
      </c>
      <c r="D188">
        <v>1.1751999855041499</v>
      </c>
      <c r="E188">
        <v>1.17484998703002</v>
      </c>
      <c r="F188">
        <v>1.17499995231628</v>
      </c>
      <c r="G188">
        <v>0</v>
      </c>
      <c r="H188">
        <v>1.1754999876022301</v>
      </c>
      <c r="I188">
        <v>-2.3000240325932099E-4</v>
      </c>
      <c r="J188" t="str">
        <f t="shared" si="19"/>
        <v>DOWN</v>
      </c>
      <c r="K188">
        <v>1.1765050077438299</v>
      </c>
      <c r="L188" s="1">
        <v>-3.2999515533482698E-5</v>
      </c>
      <c r="M188" t="str">
        <f t="shared" si="20"/>
        <v>DOWN</v>
      </c>
      <c r="N188">
        <v>-1.0050201416016401E-3</v>
      </c>
      <c r="O188" t="str">
        <f t="shared" si="21"/>
        <v>DOWN</v>
      </c>
      <c r="P188">
        <v>35.549678450072498</v>
      </c>
      <c r="Q188">
        <v>-1.5777085715552801</v>
      </c>
      <c r="R188" t="str">
        <f t="shared" si="22"/>
        <v>DOWN</v>
      </c>
      <c r="S188">
        <v>1.17484998703002</v>
      </c>
      <c r="T188" t="str">
        <f t="shared" si="16"/>
        <v>UP</v>
      </c>
      <c r="U188">
        <v>1.17499995231628</v>
      </c>
      <c r="V188" t="str">
        <f t="shared" si="23"/>
        <v>DOWN</v>
      </c>
      <c r="W188">
        <v>1.1756500005721999</v>
      </c>
      <c r="X188" t="str">
        <f t="shared" si="17"/>
        <v>DOWN</v>
      </c>
      <c r="Y188">
        <v>1.1770000457763601</v>
      </c>
      <c r="Z188" t="str">
        <f t="shared" si="18"/>
        <v>DOWN</v>
      </c>
      <c r="AA188">
        <v>0</v>
      </c>
      <c r="AB188">
        <v>0</v>
      </c>
      <c r="AC188">
        <v>0</v>
      </c>
      <c r="AD188">
        <v>0</v>
      </c>
    </row>
    <row r="189" spans="1:30" hidden="1" x14ac:dyDescent="0.35">
      <c r="A189" s="2">
        <v>45887</v>
      </c>
      <c r="B189" t="s">
        <v>27</v>
      </c>
      <c r="C189">
        <v>1.17509996891021</v>
      </c>
      <c r="D189">
        <v>1.17515003681182</v>
      </c>
      <c r="E189">
        <v>1.17455005645751</v>
      </c>
      <c r="F189">
        <v>1.17455005645751</v>
      </c>
      <c r="G189">
        <v>0</v>
      </c>
      <c r="H189">
        <v>1.17535998821258</v>
      </c>
      <c r="I189">
        <v>-1.3999938964848099E-4</v>
      </c>
      <c r="J189" t="str">
        <f t="shared" si="19"/>
        <v>DOWN</v>
      </c>
      <c r="K189">
        <v>1.17649600744247</v>
      </c>
      <c r="L189" s="1">
        <v>-9.0003013610839793E-6</v>
      </c>
      <c r="M189" t="str">
        <f t="shared" si="20"/>
        <v>DOWN</v>
      </c>
      <c r="N189">
        <v>-1.1360192298890399E-3</v>
      </c>
      <c r="O189" t="str">
        <f t="shared" si="21"/>
        <v>DOWN</v>
      </c>
      <c r="P189">
        <v>36.037148887767898</v>
      </c>
      <c r="Q189">
        <v>0.48747043769537102</v>
      </c>
      <c r="R189" t="str">
        <f t="shared" si="22"/>
        <v>UP</v>
      </c>
      <c r="S189">
        <v>1.17484998703002</v>
      </c>
      <c r="T189" t="str">
        <f t="shared" si="16"/>
        <v>DOWN</v>
      </c>
      <c r="U189">
        <v>1.17484998703002</v>
      </c>
      <c r="V189" t="str">
        <f t="shared" si="23"/>
        <v>DOWN</v>
      </c>
      <c r="W189">
        <v>1.1751999855041499</v>
      </c>
      <c r="X189" t="str">
        <f t="shared" si="17"/>
        <v>DOWN</v>
      </c>
      <c r="Y189">
        <v>1.1756500005721999</v>
      </c>
      <c r="Z189" t="str">
        <f t="shared" si="18"/>
        <v>DOWN</v>
      </c>
      <c r="AA189">
        <v>0</v>
      </c>
      <c r="AB189">
        <v>1</v>
      </c>
      <c r="AC189">
        <v>0</v>
      </c>
      <c r="AD189">
        <v>0</v>
      </c>
    </row>
    <row r="190" spans="1:30" hidden="1" x14ac:dyDescent="0.35">
      <c r="A190" s="2">
        <v>45887</v>
      </c>
      <c r="B190" t="s">
        <v>38</v>
      </c>
      <c r="C190">
        <v>1.17464995384216</v>
      </c>
      <c r="D190">
        <v>1.17515003681182</v>
      </c>
      <c r="E190">
        <v>1.17460000514984</v>
      </c>
      <c r="F190">
        <v>1.17484998703002</v>
      </c>
      <c r="G190">
        <v>432</v>
      </c>
      <c r="H190">
        <v>1.17502996921539</v>
      </c>
      <c r="I190">
        <v>-3.3001899719220501E-4</v>
      </c>
      <c r="J190" t="str">
        <f t="shared" si="19"/>
        <v>DOWN</v>
      </c>
      <c r="K190">
        <v>1.17644600629806</v>
      </c>
      <c r="L190" s="1">
        <v>-5.0001144409117501E-5</v>
      </c>
      <c r="M190" t="str">
        <f t="shared" si="20"/>
        <v>DOWN</v>
      </c>
      <c r="N190">
        <v>-1.41603708267212E-3</v>
      </c>
      <c r="O190" t="str">
        <f t="shared" si="21"/>
        <v>DOWN</v>
      </c>
      <c r="P190">
        <v>33.5733487610281</v>
      </c>
      <c r="Q190">
        <v>-2.4638001267398102</v>
      </c>
      <c r="R190" t="str">
        <f t="shared" si="22"/>
        <v>DOWN</v>
      </c>
      <c r="S190">
        <v>1.17455005645751</v>
      </c>
      <c r="T190" t="str">
        <f t="shared" si="16"/>
        <v>UP</v>
      </c>
      <c r="U190">
        <v>1.17484998703002</v>
      </c>
      <c r="V190" t="str">
        <f t="shared" si="23"/>
        <v>DOWN</v>
      </c>
      <c r="W190">
        <v>1.17515003681182</v>
      </c>
      <c r="X190" t="str">
        <f t="shared" si="17"/>
        <v>DOWN</v>
      </c>
      <c r="Y190">
        <v>1.1751999855041499</v>
      </c>
      <c r="Z190" t="str">
        <f t="shared" si="18"/>
        <v>DOWN</v>
      </c>
      <c r="AA190">
        <v>0</v>
      </c>
      <c r="AB190">
        <v>0</v>
      </c>
      <c r="AC190">
        <v>0</v>
      </c>
      <c r="AD190">
        <v>0</v>
      </c>
    </row>
    <row r="191" spans="1:30" hidden="1" x14ac:dyDescent="0.35">
      <c r="A191" s="2">
        <v>45887</v>
      </c>
      <c r="B191" t="s">
        <v>28</v>
      </c>
      <c r="C191">
        <v>1.17484998703002</v>
      </c>
      <c r="D191">
        <v>1.17484998703002</v>
      </c>
      <c r="E191">
        <v>1.17484998703002</v>
      </c>
      <c r="F191">
        <v>1.17484998703002</v>
      </c>
      <c r="G191">
        <v>0</v>
      </c>
      <c r="H191">
        <v>1.17499997615814</v>
      </c>
      <c r="I191" s="1">
        <v>-2.99930572511541E-5</v>
      </c>
      <c r="J191" t="str">
        <f t="shared" si="19"/>
        <v>DOWN</v>
      </c>
      <c r="K191">
        <v>1.1763830065727201</v>
      </c>
      <c r="L191" s="1">
        <v>-6.2999725341850098E-5</v>
      </c>
      <c r="M191" t="str">
        <f t="shared" si="20"/>
        <v>DOWN</v>
      </c>
      <c r="N191">
        <v>-1.3830304145814301E-3</v>
      </c>
      <c r="O191" t="str">
        <f t="shared" si="21"/>
        <v>DOWN</v>
      </c>
      <c r="P191">
        <v>35.678441774857099</v>
      </c>
      <c r="Q191">
        <v>2.1050930138289701</v>
      </c>
      <c r="R191" t="str">
        <f t="shared" si="22"/>
        <v>UP</v>
      </c>
      <c r="S191">
        <v>1.17460000514984</v>
      </c>
      <c r="T191" t="str">
        <f t="shared" si="16"/>
        <v>UP</v>
      </c>
      <c r="U191">
        <v>1.17455005645751</v>
      </c>
      <c r="V191" t="str">
        <f t="shared" si="23"/>
        <v>UP</v>
      </c>
      <c r="W191">
        <v>1.17515003681182</v>
      </c>
      <c r="X191" t="str">
        <f t="shared" si="17"/>
        <v>DOWN</v>
      </c>
      <c r="Y191">
        <v>1.17515003681182</v>
      </c>
      <c r="Z191" t="str">
        <f t="shared" si="18"/>
        <v>DOWN</v>
      </c>
      <c r="AA191">
        <v>0</v>
      </c>
      <c r="AB191">
        <v>0</v>
      </c>
      <c r="AC191">
        <v>0</v>
      </c>
      <c r="AD191">
        <v>0</v>
      </c>
    </row>
    <row r="192" spans="1:30" hidden="1" x14ac:dyDescent="0.35">
      <c r="A192" s="2">
        <v>45887</v>
      </c>
      <c r="B192" t="s">
        <v>39</v>
      </c>
      <c r="C192">
        <v>1.17495000362396</v>
      </c>
      <c r="D192">
        <v>1.17495000362396</v>
      </c>
      <c r="E192">
        <v>1.17495000362396</v>
      </c>
      <c r="F192">
        <v>1.17495000362396</v>
      </c>
      <c r="G192">
        <v>0</v>
      </c>
      <c r="H192">
        <v>1.1749199867248501</v>
      </c>
      <c r="I192" s="1">
        <v>-7.9989433288574205E-5</v>
      </c>
      <c r="J192" t="str">
        <f t="shared" si="19"/>
        <v>DOWN</v>
      </c>
      <c r="K192">
        <v>1.1763860058784401</v>
      </c>
      <c r="L192" s="1">
        <v>2.9993057251154198E-6</v>
      </c>
      <c r="M192" t="str">
        <f t="shared" si="20"/>
        <v>UP</v>
      </c>
      <c r="N192">
        <v>-1.46601915359512E-3</v>
      </c>
      <c r="O192" t="str">
        <f t="shared" si="21"/>
        <v>DOWN</v>
      </c>
      <c r="P192">
        <v>36.757616702187299</v>
      </c>
      <c r="Q192">
        <v>1.0791749273301701</v>
      </c>
      <c r="R192" t="str">
        <f t="shared" si="22"/>
        <v>UP</v>
      </c>
      <c r="S192">
        <v>1.17484998703002</v>
      </c>
      <c r="T192" t="str">
        <f t="shared" si="16"/>
        <v>UP</v>
      </c>
      <c r="U192">
        <v>1.17460000514984</v>
      </c>
      <c r="V192" t="str">
        <f t="shared" si="23"/>
        <v>UP</v>
      </c>
      <c r="W192">
        <v>1.17484998703002</v>
      </c>
      <c r="X192" t="str">
        <f t="shared" si="17"/>
        <v>UP</v>
      </c>
      <c r="Y192">
        <v>1.17515003681182</v>
      </c>
      <c r="Z192" t="str">
        <f t="shared" si="18"/>
        <v>DOWN</v>
      </c>
      <c r="AA192">
        <v>0</v>
      </c>
      <c r="AB192">
        <v>0</v>
      </c>
      <c r="AC192">
        <v>0</v>
      </c>
      <c r="AD192">
        <v>0</v>
      </c>
    </row>
    <row r="193" spans="1:30" hidden="1" x14ac:dyDescent="0.35">
      <c r="A193" s="2">
        <v>45887</v>
      </c>
      <c r="B193" t="s">
        <v>40</v>
      </c>
      <c r="C193">
        <v>1.1757500171661299</v>
      </c>
      <c r="D193">
        <v>1.1757500171661299</v>
      </c>
      <c r="E193">
        <v>1.17455005645751</v>
      </c>
      <c r="F193">
        <v>1.17455005645751</v>
      </c>
      <c r="G193">
        <v>2</v>
      </c>
      <c r="H193">
        <v>1.1750599861144999</v>
      </c>
      <c r="I193">
        <v>1.3999938964848099E-4</v>
      </c>
      <c r="J193" t="str">
        <f t="shared" si="19"/>
        <v>UP</v>
      </c>
      <c r="K193">
        <v>1.17642400503158</v>
      </c>
      <c r="L193" s="1">
        <v>3.7999153137180298E-5</v>
      </c>
      <c r="M193" t="str">
        <f t="shared" si="20"/>
        <v>UP</v>
      </c>
      <c r="N193">
        <v>-1.36401891708382E-3</v>
      </c>
      <c r="O193" t="str">
        <f t="shared" si="21"/>
        <v>DOWN</v>
      </c>
      <c r="P193">
        <v>44.743591010937998</v>
      </c>
      <c r="Q193">
        <v>7.9859743087506896</v>
      </c>
      <c r="R193" t="str">
        <f t="shared" si="22"/>
        <v>UP</v>
      </c>
      <c r="S193">
        <v>1.17495000362396</v>
      </c>
      <c r="T193" t="str">
        <f t="shared" si="16"/>
        <v>DOWN</v>
      </c>
      <c r="U193">
        <v>1.17484998703002</v>
      </c>
      <c r="V193" t="str">
        <f t="shared" si="23"/>
        <v>DOWN</v>
      </c>
      <c r="W193">
        <v>1.17495000362396</v>
      </c>
      <c r="X193" t="str">
        <f t="shared" si="17"/>
        <v>UP</v>
      </c>
      <c r="Y193">
        <v>1.17484998703002</v>
      </c>
      <c r="Z193" t="str">
        <f t="shared" si="18"/>
        <v>UP</v>
      </c>
      <c r="AA193">
        <v>0</v>
      </c>
      <c r="AB193">
        <v>1</v>
      </c>
      <c r="AC193">
        <v>0</v>
      </c>
      <c r="AD193">
        <v>0</v>
      </c>
    </row>
    <row r="194" spans="1:30" hidden="1" x14ac:dyDescent="0.35">
      <c r="A194" s="2">
        <v>45887</v>
      </c>
      <c r="B194" t="s">
        <v>42</v>
      </c>
      <c r="C194">
        <v>1.17484998703002</v>
      </c>
      <c r="D194">
        <v>1.17484998703002</v>
      </c>
      <c r="E194">
        <v>1.17484998703002</v>
      </c>
      <c r="F194">
        <v>1.17484998703002</v>
      </c>
      <c r="G194">
        <v>1</v>
      </c>
      <c r="H194">
        <v>1.17500998973846</v>
      </c>
      <c r="I194" s="1">
        <v>-4.9996376037641997E-5</v>
      </c>
      <c r="J194" t="str">
        <f t="shared" si="19"/>
        <v>DOWN</v>
      </c>
      <c r="K194">
        <v>1.1764230036735499</v>
      </c>
      <c r="L194" s="1">
        <v>-1.0013580322709699E-6</v>
      </c>
      <c r="M194" t="str">
        <f t="shared" si="20"/>
        <v>DOWN</v>
      </c>
      <c r="N194">
        <v>-1.41301393508919E-3</v>
      </c>
      <c r="O194" t="str">
        <f t="shared" si="21"/>
        <v>DOWN</v>
      </c>
      <c r="P194">
        <v>38.806561114581903</v>
      </c>
      <c r="Q194">
        <v>-5.9370298963560799</v>
      </c>
      <c r="R194" t="str">
        <f t="shared" si="22"/>
        <v>DOWN</v>
      </c>
      <c r="S194">
        <v>1.17455005645751</v>
      </c>
      <c r="T194" t="str">
        <f t="shared" ref="T194:T257" si="24">IF((E194-S194)&lt;0,"DOWN","UP")</f>
        <v>UP</v>
      </c>
      <c r="U194">
        <v>1.17495000362396</v>
      </c>
      <c r="V194" t="str">
        <f t="shared" si="23"/>
        <v>DOWN</v>
      </c>
      <c r="W194">
        <v>1.1757500171661299</v>
      </c>
      <c r="X194" t="str">
        <f t="shared" ref="X194:X257" si="25">IF((D194-W194)&gt;0,"UP","DOWN")</f>
        <v>DOWN</v>
      </c>
      <c r="Y194">
        <v>1.17495000362396</v>
      </c>
      <c r="Z194" t="str">
        <f t="shared" ref="Z194:Z257" si="26">IF((D194-Y194)&gt;0,"UP","DOWN")</f>
        <v>DOWN</v>
      </c>
      <c r="AA194">
        <v>0</v>
      </c>
      <c r="AB194">
        <v>0</v>
      </c>
      <c r="AC194">
        <v>0</v>
      </c>
      <c r="AD194">
        <v>0</v>
      </c>
    </row>
    <row r="195" spans="1:30" hidden="1" x14ac:dyDescent="0.35">
      <c r="A195" s="2">
        <v>45888</v>
      </c>
      <c r="B195" t="s">
        <v>29</v>
      </c>
      <c r="C195">
        <v>1.17439997196197</v>
      </c>
      <c r="D195">
        <v>1.17439997196197</v>
      </c>
      <c r="E195">
        <v>1.17439997196197</v>
      </c>
      <c r="F195">
        <v>1.17439997196197</v>
      </c>
      <c r="G195">
        <v>1</v>
      </c>
      <c r="H195">
        <v>1.17495999336242</v>
      </c>
      <c r="I195" s="1">
        <v>-4.999637603742E-5</v>
      </c>
      <c r="J195" t="str">
        <f t="shared" ref="J195:J258" si="27">IF(I195&gt;0,"UP","DOWN")</f>
        <v>DOWN</v>
      </c>
      <c r="K195">
        <v>1.1764540028571999</v>
      </c>
      <c r="L195" s="1">
        <v>3.0999183654900599E-5</v>
      </c>
      <c r="M195" t="str">
        <f t="shared" ref="M195:M258" si="28">IF(L195&gt;0,"UP","DOWN")</f>
        <v>UP</v>
      </c>
      <c r="N195">
        <v>-1.49400949478151E-3</v>
      </c>
      <c r="O195" t="str">
        <f t="shared" ref="O195:O258" si="29">IF(N195&gt;0,"UP","DOWN")</f>
        <v>DOWN</v>
      </c>
      <c r="P195">
        <v>36.218783529907903</v>
      </c>
      <c r="Q195">
        <v>-2.5877775846739102</v>
      </c>
      <c r="R195" t="str">
        <f t="shared" ref="R195:R258" si="30">IF(Q195&gt;0,"UP","DOWN")</f>
        <v>DOWN</v>
      </c>
      <c r="S195">
        <v>1.17484998703002</v>
      </c>
      <c r="T195" t="str">
        <f t="shared" si="24"/>
        <v>DOWN</v>
      </c>
      <c r="U195">
        <v>1.17455005645751</v>
      </c>
      <c r="V195" t="str">
        <f t="shared" ref="V195:V258" si="31">IF((E195-U195)&lt;0,"DOWN","UP")</f>
        <v>DOWN</v>
      </c>
      <c r="W195">
        <v>1.17484998703002</v>
      </c>
      <c r="X195" t="str">
        <f t="shared" si="25"/>
        <v>DOWN</v>
      </c>
      <c r="Y195">
        <v>1.1757500171661299</v>
      </c>
      <c r="Z195" t="str">
        <f t="shared" si="26"/>
        <v>DOWN</v>
      </c>
      <c r="AA195">
        <v>0</v>
      </c>
      <c r="AB195">
        <v>0</v>
      </c>
      <c r="AC195">
        <v>0</v>
      </c>
      <c r="AD195">
        <v>0</v>
      </c>
    </row>
    <row r="196" spans="1:30" hidden="1" x14ac:dyDescent="0.35">
      <c r="A196" s="2">
        <v>45888</v>
      </c>
      <c r="B196" t="s">
        <v>30</v>
      </c>
      <c r="C196">
        <v>1.17385005950927</v>
      </c>
      <c r="D196">
        <v>1.17445003986358</v>
      </c>
      <c r="E196">
        <v>1.1726499795913601</v>
      </c>
      <c r="F196">
        <v>1.17445003986358</v>
      </c>
      <c r="G196">
        <v>12</v>
      </c>
      <c r="H196">
        <v>1.1747600078582701</v>
      </c>
      <c r="I196">
        <v>-1.9998550415056799E-4</v>
      </c>
      <c r="J196" t="str">
        <f t="shared" si="27"/>
        <v>DOWN</v>
      </c>
      <c r="K196">
        <v>1.17649300336837</v>
      </c>
      <c r="L196" s="1">
        <v>3.9000511169229299E-5</v>
      </c>
      <c r="M196" t="str">
        <f t="shared" si="28"/>
        <v>UP</v>
      </c>
      <c r="N196">
        <v>-1.7329955101012999E-3</v>
      </c>
      <c r="O196" t="str">
        <f t="shared" si="29"/>
        <v>DOWN</v>
      </c>
      <c r="P196">
        <v>33.296814204093799</v>
      </c>
      <c r="Q196">
        <v>-2.9219693258141399</v>
      </c>
      <c r="R196" t="str">
        <f t="shared" si="30"/>
        <v>DOWN</v>
      </c>
      <c r="S196">
        <v>1.17439997196197</v>
      </c>
      <c r="T196" t="str">
        <f t="shared" si="24"/>
        <v>DOWN</v>
      </c>
      <c r="U196">
        <v>1.17484998703002</v>
      </c>
      <c r="V196" t="str">
        <f t="shared" si="31"/>
        <v>DOWN</v>
      </c>
      <c r="W196">
        <v>1.17439997196197</v>
      </c>
      <c r="X196" t="str">
        <f t="shared" si="25"/>
        <v>UP</v>
      </c>
      <c r="Y196">
        <v>1.17484998703002</v>
      </c>
      <c r="Z196" t="str">
        <f t="shared" si="26"/>
        <v>DOWN</v>
      </c>
      <c r="AA196">
        <v>0</v>
      </c>
      <c r="AB196">
        <v>1</v>
      </c>
      <c r="AC196">
        <v>0</v>
      </c>
      <c r="AD196">
        <v>0</v>
      </c>
    </row>
    <row r="197" spans="1:30" hidden="1" x14ac:dyDescent="0.35">
      <c r="A197" s="2">
        <v>45888</v>
      </c>
      <c r="B197" t="s">
        <v>31</v>
      </c>
      <c r="C197">
        <v>1.17365002632141</v>
      </c>
      <c r="D197">
        <v>1.17414999008178</v>
      </c>
      <c r="E197">
        <v>1.17365002632141</v>
      </c>
      <c r="F197">
        <v>1.17385005950927</v>
      </c>
      <c r="G197">
        <v>4</v>
      </c>
      <c r="H197">
        <v>1.17450001239776</v>
      </c>
      <c r="I197">
        <v>-2.5999546051025298E-4</v>
      </c>
      <c r="J197" t="str">
        <f t="shared" si="27"/>
        <v>DOWN</v>
      </c>
      <c r="K197">
        <v>1.17652000427246</v>
      </c>
      <c r="L197" s="1">
        <v>2.7000904083251899E-5</v>
      </c>
      <c r="M197" t="str">
        <f t="shared" si="28"/>
        <v>UP</v>
      </c>
      <c r="N197">
        <v>-2.0199918746948101E-3</v>
      </c>
      <c r="O197" t="str">
        <f t="shared" si="29"/>
        <v>DOWN</v>
      </c>
      <c r="P197">
        <v>32.276756218416502</v>
      </c>
      <c r="Q197">
        <v>-1.02005798567728</v>
      </c>
      <c r="R197" t="str">
        <f t="shared" si="30"/>
        <v>DOWN</v>
      </c>
      <c r="S197">
        <v>1.1726499795913601</v>
      </c>
      <c r="T197" t="str">
        <f t="shared" si="24"/>
        <v>UP</v>
      </c>
      <c r="U197">
        <v>1.17439997196197</v>
      </c>
      <c r="V197" t="str">
        <f t="shared" si="31"/>
        <v>DOWN</v>
      </c>
      <c r="W197">
        <v>1.17445003986358</v>
      </c>
      <c r="X197" t="str">
        <f t="shared" si="25"/>
        <v>DOWN</v>
      </c>
      <c r="Y197">
        <v>1.17439997196197</v>
      </c>
      <c r="Z197" t="str">
        <f t="shared" si="26"/>
        <v>DOWN</v>
      </c>
      <c r="AA197">
        <v>0</v>
      </c>
      <c r="AB197">
        <v>0</v>
      </c>
      <c r="AC197">
        <v>0</v>
      </c>
      <c r="AD197">
        <v>0</v>
      </c>
    </row>
    <row r="198" spans="1:30" hidden="1" x14ac:dyDescent="0.35">
      <c r="A198" s="2">
        <v>45888</v>
      </c>
      <c r="B198" t="s">
        <v>32</v>
      </c>
      <c r="C198">
        <v>1.17400002479553</v>
      </c>
      <c r="D198">
        <v>1.17435002326965</v>
      </c>
      <c r="E198">
        <v>1.17400002479553</v>
      </c>
      <c r="F198">
        <v>1.17435002326965</v>
      </c>
      <c r="G198">
        <v>11</v>
      </c>
      <c r="H198">
        <v>1.17415001392364</v>
      </c>
      <c r="I198">
        <v>-3.4999847412109299E-4</v>
      </c>
      <c r="J198" t="str">
        <f t="shared" si="27"/>
        <v>DOWN</v>
      </c>
      <c r="K198">
        <v>1.17654500484466</v>
      </c>
      <c r="L198" s="1">
        <v>2.5000572204669698E-5</v>
      </c>
      <c r="M198" t="str">
        <f t="shared" si="28"/>
        <v>UP</v>
      </c>
      <c r="N198">
        <v>-2.3949909210205702E-3</v>
      </c>
      <c r="O198" t="str">
        <f t="shared" si="29"/>
        <v>DOWN</v>
      </c>
      <c r="P198">
        <v>35.972786791730599</v>
      </c>
      <c r="Q198">
        <v>3.6960305733140699</v>
      </c>
      <c r="R198" t="str">
        <f t="shared" si="30"/>
        <v>UP</v>
      </c>
      <c r="S198">
        <v>1.17365002632141</v>
      </c>
      <c r="T198" t="str">
        <f t="shared" si="24"/>
        <v>UP</v>
      </c>
      <c r="U198">
        <v>1.1726499795913601</v>
      </c>
      <c r="V198" t="str">
        <f t="shared" si="31"/>
        <v>UP</v>
      </c>
      <c r="W198">
        <v>1.17414999008178</v>
      </c>
      <c r="X198" t="str">
        <f t="shared" si="25"/>
        <v>UP</v>
      </c>
      <c r="Y198">
        <v>1.17445003986358</v>
      </c>
      <c r="Z198" t="str">
        <f t="shared" si="26"/>
        <v>DOWN</v>
      </c>
      <c r="AA198">
        <v>0</v>
      </c>
      <c r="AB198">
        <v>0</v>
      </c>
      <c r="AC198">
        <v>0</v>
      </c>
      <c r="AD198">
        <v>0</v>
      </c>
    </row>
    <row r="199" spans="1:30" hidden="1" x14ac:dyDescent="0.35">
      <c r="A199" s="2">
        <v>45888</v>
      </c>
      <c r="B199" t="s">
        <v>33</v>
      </c>
      <c r="C199">
        <v>1.1748000383377</v>
      </c>
      <c r="D199">
        <v>1.1748000383377</v>
      </c>
      <c r="E199">
        <v>1.1748000383377</v>
      </c>
      <c r="F199">
        <v>1.1748000383377</v>
      </c>
      <c r="G199">
        <v>1</v>
      </c>
      <c r="H199">
        <v>1.17414002418518</v>
      </c>
      <c r="I199" s="1">
        <v>-9.9897384642222403E-6</v>
      </c>
      <c r="J199" t="str">
        <f t="shared" si="27"/>
        <v>DOWN</v>
      </c>
      <c r="K199">
        <v>1.1765760064124999</v>
      </c>
      <c r="L199" s="1">
        <v>3.1001567840638297E-5</v>
      </c>
      <c r="M199" t="str">
        <f t="shared" si="28"/>
        <v>UP</v>
      </c>
      <c r="N199">
        <v>-2.4359822273254299E-3</v>
      </c>
      <c r="O199" t="str">
        <f t="shared" si="29"/>
        <v>DOWN</v>
      </c>
      <c r="P199">
        <v>43.5556642989526</v>
      </c>
      <c r="Q199">
        <v>7.5828775072220296</v>
      </c>
      <c r="R199" t="str">
        <f t="shared" si="30"/>
        <v>UP</v>
      </c>
      <c r="S199">
        <v>1.17400002479553</v>
      </c>
      <c r="T199" t="str">
        <f t="shared" si="24"/>
        <v>UP</v>
      </c>
      <c r="U199">
        <v>1.17365002632141</v>
      </c>
      <c r="V199" t="str">
        <f t="shared" si="31"/>
        <v>UP</v>
      </c>
      <c r="W199">
        <v>1.17435002326965</v>
      </c>
      <c r="X199" t="str">
        <f t="shared" si="25"/>
        <v>UP</v>
      </c>
      <c r="Y199">
        <v>1.17414999008178</v>
      </c>
      <c r="Z199" t="str">
        <f t="shared" si="26"/>
        <v>UP</v>
      </c>
      <c r="AA199">
        <v>0</v>
      </c>
      <c r="AB199">
        <v>0</v>
      </c>
      <c r="AC199">
        <v>0</v>
      </c>
      <c r="AD199">
        <v>0</v>
      </c>
    </row>
    <row r="200" spans="1:30" hidden="1" x14ac:dyDescent="0.35">
      <c r="A200" s="2">
        <v>45888</v>
      </c>
      <c r="B200" t="s">
        <v>41</v>
      </c>
      <c r="C200">
        <v>1.17499995231628</v>
      </c>
      <c r="D200">
        <v>1.17499995231628</v>
      </c>
      <c r="E200">
        <v>1.17499995231628</v>
      </c>
      <c r="F200">
        <v>1.17499995231628</v>
      </c>
      <c r="G200">
        <v>2</v>
      </c>
      <c r="H200">
        <v>1.17426002025604</v>
      </c>
      <c r="I200">
        <v>1.19996070861772E-4</v>
      </c>
      <c r="J200" t="str">
        <f t="shared" si="27"/>
        <v>UP</v>
      </c>
      <c r="K200">
        <v>1.1766090059280301</v>
      </c>
      <c r="L200" s="1">
        <v>3.2999515533482698E-5</v>
      </c>
      <c r="M200" t="str">
        <f t="shared" si="28"/>
        <v>UP</v>
      </c>
      <c r="N200">
        <v>-2.3489856719971498E-3</v>
      </c>
      <c r="O200" t="str">
        <f t="shared" si="29"/>
        <v>DOWN</v>
      </c>
      <c r="P200">
        <v>45.299055202729903</v>
      </c>
      <c r="Q200">
        <v>1.7433909037772399</v>
      </c>
      <c r="R200" t="str">
        <f t="shared" si="30"/>
        <v>UP</v>
      </c>
      <c r="S200">
        <v>1.1748000383377</v>
      </c>
      <c r="T200" t="str">
        <f t="shared" si="24"/>
        <v>UP</v>
      </c>
      <c r="U200">
        <v>1.17400002479553</v>
      </c>
      <c r="V200" t="str">
        <f t="shared" si="31"/>
        <v>UP</v>
      </c>
      <c r="W200">
        <v>1.1748000383377</v>
      </c>
      <c r="X200" t="str">
        <f t="shared" si="25"/>
        <v>UP</v>
      </c>
      <c r="Y200">
        <v>1.17435002326965</v>
      </c>
      <c r="Z200" t="str">
        <f t="shared" si="26"/>
        <v>UP</v>
      </c>
      <c r="AA200">
        <v>0</v>
      </c>
      <c r="AB200">
        <v>0</v>
      </c>
      <c r="AC200">
        <v>0</v>
      </c>
      <c r="AD200">
        <v>0</v>
      </c>
    </row>
    <row r="201" spans="1:30" hidden="1" x14ac:dyDescent="0.35">
      <c r="A201" s="2">
        <v>45888</v>
      </c>
      <c r="B201" t="s">
        <v>34</v>
      </c>
      <c r="C201">
        <v>1.1757500171661299</v>
      </c>
      <c r="D201">
        <v>1.1757500171661299</v>
      </c>
      <c r="E201">
        <v>1.17369997501373</v>
      </c>
      <c r="F201">
        <v>1.17369997501373</v>
      </c>
      <c r="G201">
        <v>17</v>
      </c>
      <c r="H201">
        <v>1.1746400117874101</v>
      </c>
      <c r="I201">
        <v>3.7999153137202498E-4</v>
      </c>
      <c r="J201" t="str">
        <f t="shared" si="27"/>
        <v>UP</v>
      </c>
      <c r="K201">
        <v>1.1766540074348399</v>
      </c>
      <c r="L201" s="1">
        <v>4.5001506805419902E-5</v>
      </c>
      <c r="M201" t="str">
        <f t="shared" si="28"/>
        <v>UP</v>
      </c>
      <c r="N201">
        <v>-2.0139956474305399E-3</v>
      </c>
      <c r="O201" t="str">
        <f t="shared" si="29"/>
        <v>DOWN</v>
      </c>
      <c r="P201">
        <v>51.368294295581698</v>
      </c>
      <c r="Q201">
        <v>6.0692390928518201</v>
      </c>
      <c r="R201" t="str">
        <f t="shared" si="30"/>
        <v>UP</v>
      </c>
      <c r="S201">
        <v>1.17499995231628</v>
      </c>
      <c r="T201" t="str">
        <f t="shared" si="24"/>
        <v>DOWN</v>
      </c>
      <c r="U201">
        <v>1.1748000383377</v>
      </c>
      <c r="V201" t="str">
        <f t="shared" si="31"/>
        <v>DOWN</v>
      </c>
      <c r="W201">
        <v>1.17499995231628</v>
      </c>
      <c r="X201" t="str">
        <f t="shared" si="25"/>
        <v>UP</v>
      </c>
      <c r="Y201">
        <v>1.1748000383377</v>
      </c>
      <c r="Z201" t="str">
        <f t="shared" si="26"/>
        <v>UP</v>
      </c>
      <c r="AA201">
        <v>0</v>
      </c>
      <c r="AB201">
        <v>0</v>
      </c>
      <c r="AC201">
        <v>0</v>
      </c>
      <c r="AD201">
        <v>0</v>
      </c>
    </row>
    <row r="202" spans="1:30" hidden="1" x14ac:dyDescent="0.35">
      <c r="A202" s="2">
        <v>45888</v>
      </c>
      <c r="B202" t="s">
        <v>36</v>
      </c>
      <c r="C202">
        <v>1.1759999990463199</v>
      </c>
      <c r="D202">
        <v>1.1762000322341899</v>
      </c>
      <c r="E202">
        <v>1.1757999658584499</v>
      </c>
      <c r="F202">
        <v>1.1762000322341899</v>
      </c>
      <c r="G202">
        <v>40</v>
      </c>
      <c r="H202">
        <v>1.17511000633239</v>
      </c>
      <c r="I202">
        <v>4.6999454498286499E-4</v>
      </c>
      <c r="J202" t="str">
        <f t="shared" si="27"/>
        <v>UP</v>
      </c>
      <c r="K202">
        <v>1.1766990065574601</v>
      </c>
      <c r="L202" s="1">
        <v>4.4999122619460098E-5</v>
      </c>
      <c r="M202" t="str">
        <f t="shared" si="28"/>
        <v>UP</v>
      </c>
      <c r="N202">
        <v>-1.58900022506713E-3</v>
      </c>
      <c r="O202" t="str">
        <f t="shared" si="29"/>
        <v>DOWN</v>
      </c>
      <c r="P202">
        <v>53.230784115309199</v>
      </c>
      <c r="Q202">
        <v>1.86248981972746</v>
      </c>
      <c r="R202" t="str">
        <f t="shared" si="30"/>
        <v>UP</v>
      </c>
      <c r="S202">
        <v>1.17369997501373</v>
      </c>
      <c r="T202" t="str">
        <f t="shared" si="24"/>
        <v>UP</v>
      </c>
      <c r="U202">
        <v>1.17499995231628</v>
      </c>
      <c r="V202" t="str">
        <f t="shared" si="31"/>
        <v>UP</v>
      </c>
      <c r="W202">
        <v>1.1757500171661299</v>
      </c>
      <c r="X202" t="str">
        <f t="shared" si="25"/>
        <v>UP</v>
      </c>
      <c r="Y202">
        <v>1.17499995231628</v>
      </c>
      <c r="Z202" t="str">
        <f t="shared" si="26"/>
        <v>UP</v>
      </c>
      <c r="AA202">
        <v>0</v>
      </c>
      <c r="AB202">
        <v>0</v>
      </c>
      <c r="AC202">
        <v>0</v>
      </c>
      <c r="AD202">
        <v>0</v>
      </c>
    </row>
    <row r="203" spans="1:30" hidden="1" x14ac:dyDescent="0.35">
      <c r="A203" s="2">
        <v>45888</v>
      </c>
      <c r="B203" t="s">
        <v>37</v>
      </c>
      <c r="C203">
        <v>1.1765500307083101</v>
      </c>
      <c r="D203">
        <v>1.1765500307083101</v>
      </c>
      <c r="E203">
        <v>1.1758999824523899</v>
      </c>
      <c r="F203">
        <v>1.1761499643325799</v>
      </c>
      <c r="G203">
        <v>20</v>
      </c>
      <c r="H203">
        <v>1.1756200075149501</v>
      </c>
      <c r="I203">
        <v>5.1000118255628503E-4</v>
      </c>
      <c r="J203" t="str">
        <f t="shared" si="27"/>
        <v>UP</v>
      </c>
      <c r="K203">
        <v>1.1767520070075901</v>
      </c>
      <c r="L203" s="1">
        <v>5.3000450134454898E-5</v>
      </c>
      <c r="M203" t="str">
        <f t="shared" si="28"/>
        <v>UP</v>
      </c>
      <c r="N203">
        <v>-1.1319994926453001E-3</v>
      </c>
      <c r="O203" t="str">
        <f t="shared" si="29"/>
        <v>DOWN</v>
      </c>
      <c r="P203">
        <v>57.121896846948196</v>
      </c>
      <c r="Q203">
        <v>3.8911127316390899</v>
      </c>
      <c r="R203" t="str">
        <f t="shared" si="30"/>
        <v>UP</v>
      </c>
      <c r="S203">
        <v>1.1757999658584499</v>
      </c>
      <c r="T203" t="str">
        <f t="shared" si="24"/>
        <v>UP</v>
      </c>
      <c r="U203">
        <v>1.17369997501373</v>
      </c>
      <c r="V203" t="str">
        <f t="shared" si="31"/>
        <v>UP</v>
      </c>
      <c r="W203">
        <v>1.1762000322341899</v>
      </c>
      <c r="X203" t="str">
        <f t="shared" si="25"/>
        <v>UP</v>
      </c>
      <c r="Y203">
        <v>1.1757500171661299</v>
      </c>
      <c r="Z203" t="str">
        <f t="shared" si="26"/>
        <v>UP</v>
      </c>
      <c r="AA203">
        <v>0</v>
      </c>
      <c r="AB203">
        <v>0</v>
      </c>
      <c r="AC203">
        <v>0</v>
      </c>
      <c r="AD203">
        <v>0</v>
      </c>
    </row>
    <row r="204" spans="1:30" hidden="1" x14ac:dyDescent="0.35">
      <c r="A204" s="2">
        <v>45888</v>
      </c>
      <c r="B204" t="s">
        <v>20</v>
      </c>
      <c r="C204">
        <v>1.1773500442504801</v>
      </c>
      <c r="D204">
        <v>1.1776000261306701</v>
      </c>
      <c r="E204">
        <v>1.1765999794006301</v>
      </c>
      <c r="F204">
        <v>1.1765999794006301</v>
      </c>
      <c r="G204">
        <v>37</v>
      </c>
      <c r="H204">
        <v>1.1761300086975</v>
      </c>
      <c r="I204">
        <v>5.1000118255606298E-4</v>
      </c>
      <c r="J204" t="str">
        <f t="shared" si="27"/>
        <v>UP</v>
      </c>
      <c r="K204">
        <v>1.1768060088157599</v>
      </c>
      <c r="L204" s="1">
        <v>5.4001808166503899E-5</v>
      </c>
      <c r="M204" t="str">
        <f t="shared" si="28"/>
        <v>UP</v>
      </c>
      <c r="N204">
        <v>-6.7600011825574803E-4</v>
      </c>
      <c r="O204" t="str">
        <f t="shared" si="29"/>
        <v>DOWN</v>
      </c>
      <c r="P204">
        <v>62.065488117043103</v>
      </c>
      <c r="Q204">
        <v>4.9435912700948297</v>
      </c>
      <c r="R204" t="str">
        <f t="shared" si="30"/>
        <v>UP</v>
      </c>
      <c r="S204">
        <v>1.1758999824523899</v>
      </c>
      <c r="T204" t="str">
        <f t="shared" si="24"/>
        <v>UP</v>
      </c>
      <c r="U204">
        <v>1.1757999658584499</v>
      </c>
      <c r="V204" t="str">
        <f t="shared" si="31"/>
        <v>UP</v>
      </c>
      <c r="W204">
        <v>1.1765500307083101</v>
      </c>
      <c r="X204" t="str">
        <f t="shared" si="25"/>
        <v>UP</v>
      </c>
      <c r="Y204">
        <v>1.1762000322341899</v>
      </c>
      <c r="Z204" t="str">
        <f t="shared" si="26"/>
        <v>UP</v>
      </c>
      <c r="AA204">
        <v>0</v>
      </c>
      <c r="AB204">
        <v>0</v>
      </c>
      <c r="AC204">
        <v>0</v>
      </c>
      <c r="AD204">
        <v>0</v>
      </c>
    </row>
    <row r="205" spans="1:30" hidden="1" x14ac:dyDescent="0.35">
      <c r="A205" s="2">
        <v>45888</v>
      </c>
      <c r="B205" t="s">
        <v>21</v>
      </c>
      <c r="C205">
        <v>1.1769499778747501</v>
      </c>
      <c r="D205">
        <v>1.17780005931854</v>
      </c>
      <c r="E205">
        <v>1.1769499778747501</v>
      </c>
      <c r="F205">
        <v>1.1777000427246</v>
      </c>
      <c r="G205">
        <v>38</v>
      </c>
      <c r="H205">
        <v>1.1765200138092</v>
      </c>
      <c r="I205">
        <v>3.9000511169429099E-4</v>
      </c>
      <c r="J205" t="str">
        <f t="shared" si="27"/>
        <v>UP</v>
      </c>
      <c r="K205">
        <v>1.17684700727462</v>
      </c>
      <c r="L205" s="1">
        <v>4.0998458862295799E-5</v>
      </c>
      <c r="M205" t="str">
        <f t="shared" si="28"/>
        <v>UP</v>
      </c>
      <c r="N205">
        <v>-3.2699346542375198E-4</v>
      </c>
      <c r="O205" t="str">
        <f t="shared" si="29"/>
        <v>DOWN</v>
      </c>
      <c r="P205">
        <v>58.437089709711501</v>
      </c>
      <c r="Q205">
        <v>-3.6283984073315798</v>
      </c>
      <c r="R205" t="str">
        <f t="shared" si="30"/>
        <v>DOWN</v>
      </c>
      <c r="S205">
        <v>1.1765999794006301</v>
      </c>
      <c r="T205" t="str">
        <f t="shared" si="24"/>
        <v>UP</v>
      </c>
      <c r="U205">
        <v>1.1758999824523899</v>
      </c>
      <c r="V205" t="str">
        <f t="shared" si="31"/>
        <v>UP</v>
      </c>
      <c r="W205">
        <v>1.1776000261306701</v>
      </c>
      <c r="X205" t="str">
        <f t="shared" si="25"/>
        <v>UP</v>
      </c>
      <c r="Y205">
        <v>1.1765500307083101</v>
      </c>
      <c r="Z205" t="str">
        <f t="shared" si="26"/>
        <v>UP</v>
      </c>
      <c r="AA205">
        <v>1</v>
      </c>
      <c r="AB205">
        <v>0</v>
      </c>
      <c r="AC205">
        <v>0</v>
      </c>
      <c r="AD205">
        <v>0</v>
      </c>
    </row>
    <row r="206" spans="1:30" hidden="1" x14ac:dyDescent="0.35">
      <c r="A206" s="2">
        <v>45888</v>
      </c>
      <c r="B206" t="s">
        <v>22</v>
      </c>
      <c r="C206">
        <v>1.1759999990463199</v>
      </c>
      <c r="D206">
        <v>1.1769000291824301</v>
      </c>
      <c r="E206">
        <v>1.1758500337600699</v>
      </c>
      <c r="F206">
        <v>1.1769000291824301</v>
      </c>
      <c r="G206">
        <v>14</v>
      </c>
      <c r="H206">
        <v>1.1765700101852401</v>
      </c>
      <c r="I206" s="1">
        <v>4.9996376037641997E-5</v>
      </c>
      <c r="J206" t="str">
        <f t="shared" si="27"/>
        <v>UP</v>
      </c>
      <c r="K206">
        <v>1.17685000658035</v>
      </c>
      <c r="L206" s="1">
        <v>2.9993057251154198E-6</v>
      </c>
      <c r="M206" t="str">
        <f t="shared" si="28"/>
        <v>UP</v>
      </c>
      <c r="N206">
        <v>-2.7999639511122598E-4</v>
      </c>
      <c r="O206" t="str">
        <f t="shared" si="29"/>
        <v>DOWN</v>
      </c>
      <c r="P206">
        <v>50.837113481533102</v>
      </c>
      <c r="Q206">
        <v>-7.5999762281783898</v>
      </c>
      <c r="R206" t="str">
        <f t="shared" si="30"/>
        <v>DOWN</v>
      </c>
      <c r="S206">
        <v>1.1769499778747501</v>
      </c>
      <c r="T206" t="str">
        <f t="shared" si="24"/>
        <v>DOWN</v>
      </c>
      <c r="U206">
        <v>1.1765999794006301</v>
      </c>
      <c r="V206" t="str">
        <f t="shared" si="31"/>
        <v>DOWN</v>
      </c>
      <c r="W206">
        <v>1.17780005931854</v>
      </c>
      <c r="X206" t="str">
        <f t="shared" si="25"/>
        <v>DOWN</v>
      </c>
      <c r="Y206">
        <v>1.1776000261306701</v>
      </c>
      <c r="Z206" t="str">
        <f t="shared" si="26"/>
        <v>DOWN</v>
      </c>
      <c r="AA206">
        <v>0</v>
      </c>
      <c r="AB206">
        <v>0</v>
      </c>
      <c r="AC206">
        <v>0</v>
      </c>
      <c r="AD206">
        <v>0</v>
      </c>
    </row>
    <row r="207" spans="1:30" hidden="1" x14ac:dyDescent="0.35">
      <c r="A207" s="2">
        <v>45888</v>
      </c>
      <c r="B207" t="s">
        <v>23</v>
      </c>
      <c r="C207">
        <v>1.1763499975204399</v>
      </c>
      <c r="D207">
        <v>1.1763499975204399</v>
      </c>
      <c r="E207">
        <v>1.1756500005721999</v>
      </c>
      <c r="F207">
        <v>1.1756500005721999</v>
      </c>
      <c r="G207">
        <v>0</v>
      </c>
      <c r="H207">
        <v>1.17664000988006</v>
      </c>
      <c r="I207" s="1">
        <v>6.9999694824351895E-5</v>
      </c>
      <c r="J207" t="str">
        <f t="shared" si="27"/>
        <v>UP</v>
      </c>
      <c r="K207">
        <v>1.17683700561523</v>
      </c>
      <c r="L207" s="1">
        <v>-1.3000965118470299E-5</v>
      </c>
      <c r="M207" t="str">
        <f t="shared" si="28"/>
        <v>DOWN</v>
      </c>
      <c r="N207">
        <v>-1.9699573516840301E-4</v>
      </c>
      <c r="O207" t="str">
        <f t="shared" si="29"/>
        <v>DOWN</v>
      </c>
      <c r="P207">
        <v>53.249499629769403</v>
      </c>
      <c r="Q207">
        <v>2.4123861482362798</v>
      </c>
      <c r="R207" t="str">
        <f t="shared" si="30"/>
        <v>UP</v>
      </c>
      <c r="S207">
        <v>1.1758500337600699</v>
      </c>
      <c r="T207" t="str">
        <f t="shared" si="24"/>
        <v>DOWN</v>
      </c>
      <c r="U207">
        <v>1.1769499778747501</v>
      </c>
      <c r="V207" t="str">
        <f t="shared" si="31"/>
        <v>DOWN</v>
      </c>
      <c r="W207">
        <v>1.1769000291824301</v>
      </c>
      <c r="X207" t="str">
        <f t="shared" si="25"/>
        <v>DOWN</v>
      </c>
      <c r="Y207">
        <v>1.17780005931854</v>
      </c>
      <c r="Z207" t="str">
        <f t="shared" si="26"/>
        <v>DOWN</v>
      </c>
      <c r="AA207">
        <v>0</v>
      </c>
      <c r="AB207">
        <v>0</v>
      </c>
      <c r="AC207">
        <v>0</v>
      </c>
      <c r="AD207">
        <v>0</v>
      </c>
    </row>
    <row r="208" spans="1:30" hidden="1" x14ac:dyDescent="0.35">
      <c r="A208" s="2">
        <v>45888</v>
      </c>
      <c r="B208" t="s">
        <v>24</v>
      </c>
      <c r="C208">
        <v>1.1756999492645199</v>
      </c>
      <c r="D208">
        <v>1.1761000156402499</v>
      </c>
      <c r="E208">
        <v>1.1752500534057599</v>
      </c>
      <c r="F208">
        <v>1.1761000156402499</v>
      </c>
      <c r="G208">
        <v>356</v>
      </c>
      <c r="H208">
        <v>1.1764699935912999</v>
      </c>
      <c r="I208">
        <v>-1.7001628875745701E-4</v>
      </c>
      <c r="J208" t="str">
        <f t="shared" si="27"/>
        <v>DOWN</v>
      </c>
      <c r="K208">
        <v>1.1768110036849899</v>
      </c>
      <c r="L208" s="1">
        <v>-2.60019302369407E-5</v>
      </c>
      <c r="M208" t="str">
        <f t="shared" si="28"/>
        <v>DOWN</v>
      </c>
      <c r="N208">
        <v>-3.4101009368892E-4</v>
      </c>
      <c r="O208" t="str">
        <f t="shared" si="29"/>
        <v>DOWN</v>
      </c>
      <c r="P208">
        <v>48.490354575476303</v>
      </c>
      <c r="Q208">
        <v>-4.7591450542930902</v>
      </c>
      <c r="R208" t="str">
        <f t="shared" si="30"/>
        <v>DOWN</v>
      </c>
      <c r="S208">
        <v>1.1756500005721999</v>
      </c>
      <c r="T208" t="str">
        <f t="shared" si="24"/>
        <v>DOWN</v>
      </c>
      <c r="U208">
        <v>1.1758500337600699</v>
      </c>
      <c r="V208" t="str">
        <f t="shared" si="31"/>
        <v>DOWN</v>
      </c>
      <c r="W208">
        <v>1.1763499975204399</v>
      </c>
      <c r="X208" t="str">
        <f t="shared" si="25"/>
        <v>DOWN</v>
      </c>
      <c r="Y208">
        <v>1.1769000291824301</v>
      </c>
      <c r="Z208" t="str">
        <f t="shared" si="26"/>
        <v>DOWN</v>
      </c>
      <c r="AA208">
        <v>0</v>
      </c>
      <c r="AB208">
        <v>0</v>
      </c>
      <c r="AC208">
        <v>0</v>
      </c>
      <c r="AD208">
        <v>0</v>
      </c>
    </row>
    <row r="209" spans="1:30" hidden="1" x14ac:dyDescent="0.35">
      <c r="A209" s="2">
        <v>45888</v>
      </c>
      <c r="B209" t="s">
        <v>25</v>
      </c>
      <c r="C209">
        <v>1.17464995384216</v>
      </c>
      <c r="D209">
        <v>1.1756999492645199</v>
      </c>
      <c r="E209">
        <v>1.17460000514984</v>
      </c>
      <c r="F209">
        <v>1.1756999492645199</v>
      </c>
      <c r="G209">
        <v>169</v>
      </c>
      <c r="H209">
        <v>1.17592997550964</v>
      </c>
      <c r="I209">
        <v>-5.4001808166503895E-4</v>
      </c>
      <c r="J209" t="str">
        <f t="shared" si="27"/>
        <v>DOWN</v>
      </c>
      <c r="K209">
        <v>1.1767640018463099</v>
      </c>
      <c r="L209" s="1">
        <v>-4.7001838684002E-5</v>
      </c>
      <c r="M209" t="str">
        <f t="shared" si="28"/>
        <v>DOWN</v>
      </c>
      <c r="N209">
        <v>-8.3402633666995697E-4</v>
      </c>
      <c r="O209" t="str">
        <f t="shared" si="29"/>
        <v>DOWN</v>
      </c>
      <c r="P209">
        <v>41.9660009975699</v>
      </c>
      <c r="Q209">
        <v>-6.5243535779064299</v>
      </c>
      <c r="R209" t="str">
        <f t="shared" si="30"/>
        <v>DOWN</v>
      </c>
      <c r="S209">
        <v>1.1752500534057599</v>
      </c>
      <c r="T209" t="str">
        <f t="shared" si="24"/>
        <v>DOWN</v>
      </c>
      <c r="U209">
        <v>1.1756500005721999</v>
      </c>
      <c r="V209" t="str">
        <f t="shared" si="31"/>
        <v>DOWN</v>
      </c>
      <c r="W209">
        <v>1.1761000156402499</v>
      </c>
      <c r="X209" t="str">
        <f t="shared" si="25"/>
        <v>DOWN</v>
      </c>
      <c r="Y209">
        <v>1.1763499975204399</v>
      </c>
      <c r="Z209" t="str">
        <f t="shared" si="26"/>
        <v>DOWN</v>
      </c>
      <c r="AA209">
        <v>0</v>
      </c>
      <c r="AB209">
        <v>0</v>
      </c>
      <c r="AC209">
        <v>0</v>
      </c>
      <c r="AD209">
        <v>0</v>
      </c>
    </row>
    <row r="210" spans="1:30" hidden="1" x14ac:dyDescent="0.35">
      <c r="A210" s="2">
        <v>45888</v>
      </c>
      <c r="B210" t="s">
        <v>26</v>
      </c>
      <c r="C210">
        <v>1.17420005798339</v>
      </c>
      <c r="D210">
        <v>1.1744999885559</v>
      </c>
      <c r="E210">
        <v>1.17400002479553</v>
      </c>
      <c r="F210">
        <v>1.1744999885559</v>
      </c>
      <c r="G210">
        <v>85</v>
      </c>
      <c r="H210">
        <v>1.1753799915313701</v>
      </c>
      <c r="I210">
        <v>-5.4998397827143997E-4</v>
      </c>
      <c r="J210" t="str">
        <f t="shared" si="27"/>
        <v>DOWN</v>
      </c>
      <c r="K210">
        <v>1.1767010021209701</v>
      </c>
      <c r="L210" s="1">
        <v>-6.2999725341850098E-5</v>
      </c>
      <c r="M210" t="str">
        <f t="shared" si="28"/>
        <v>DOWN</v>
      </c>
      <c r="N210">
        <v>-1.32101058959954E-3</v>
      </c>
      <c r="O210" t="str">
        <f t="shared" si="29"/>
        <v>DOWN</v>
      </c>
      <c r="P210">
        <v>39.512820869684198</v>
      </c>
      <c r="Q210">
        <v>-2.45318012788566</v>
      </c>
      <c r="R210" t="str">
        <f t="shared" si="30"/>
        <v>DOWN</v>
      </c>
      <c r="S210">
        <v>1.17460000514984</v>
      </c>
      <c r="T210" t="str">
        <f t="shared" si="24"/>
        <v>DOWN</v>
      </c>
      <c r="U210">
        <v>1.1752500534057599</v>
      </c>
      <c r="V210" t="str">
        <f t="shared" si="31"/>
        <v>DOWN</v>
      </c>
      <c r="W210">
        <v>1.1756999492645199</v>
      </c>
      <c r="X210" t="str">
        <f t="shared" si="25"/>
        <v>DOWN</v>
      </c>
      <c r="Y210">
        <v>1.1761000156402499</v>
      </c>
      <c r="Z210" t="str">
        <f t="shared" si="26"/>
        <v>DOWN</v>
      </c>
      <c r="AA210">
        <v>0</v>
      </c>
      <c r="AB210">
        <v>0</v>
      </c>
      <c r="AC210">
        <v>0</v>
      </c>
      <c r="AD210">
        <v>0</v>
      </c>
    </row>
    <row r="211" spans="1:30" hidden="1" x14ac:dyDescent="0.35">
      <c r="A211" s="2">
        <v>45888</v>
      </c>
      <c r="B211" t="s">
        <v>27</v>
      </c>
      <c r="C211">
        <v>1.17420005798339</v>
      </c>
      <c r="D211">
        <v>1.17420005798339</v>
      </c>
      <c r="E211">
        <v>1.17414999008178</v>
      </c>
      <c r="F211">
        <v>1.17414999008178</v>
      </c>
      <c r="G211">
        <v>9</v>
      </c>
      <c r="H211">
        <v>1.1750200033187801</v>
      </c>
      <c r="I211">
        <v>-3.5998821258553798E-4</v>
      </c>
      <c r="J211" t="str">
        <f t="shared" si="27"/>
        <v>DOWN</v>
      </c>
      <c r="K211">
        <v>1.17664200305938</v>
      </c>
      <c r="L211" s="1">
        <v>-5.89990615844637E-5</v>
      </c>
      <c r="M211" t="str">
        <f t="shared" si="28"/>
        <v>DOWN</v>
      </c>
      <c r="N211">
        <v>-1.6219997406006199E-3</v>
      </c>
      <c r="O211" t="str">
        <f t="shared" si="29"/>
        <v>DOWN</v>
      </c>
      <c r="P211">
        <v>39.512820869684198</v>
      </c>
      <c r="Q211" s="1">
        <v>7.1054273576010003E-15</v>
      </c>
      <c r="R211" t="str">
        <f t="shared" si="30"/>
        <v>UP</v>
      </c>
      <c r="S211">
        <v>1.17400002479553</v>
      </c>
      <c r="T211" t="str">
        <f t="shared" si="24"/>
        <v>UP</v>
      </c>
      <c r="U211">
        <v>1.17460000514984</v>
      </c>
      <c r="V211" t="str">
        <f t="shared" si="31"/>
        <v>DOWN</v>
      </c>
      <c r="W211">
        <v>1.1744999885559</v>
      </c>
      <c r="X211" t="str">
        <f t="shared" si="25"/>
        <v>DOWN</v>
      </c>
      <c r="Y211">
        <v>1.1756999492645199</v>
      </c>
      <c r="Z211" t="str">
        <f t="shared" si="26"/>
        <v>DOWN</v>
      </c>
      <c r="AA211">
        <v>0</v>
      </c>
      <c r="AB211">
        <v>0</v>
      </c>
      <c r="AC211">
        <v>0</v>
      </c>
      <c r="AD211">
        <v>0</v>
      </c>
    </row>
    <row r="212" spans="1:30" hidden="1" x14ac:dyDescent="0.35">
      <c r="A212" s="2">
        <v>45888</v>
      </c>
      <c r="B212" t="s">
        <v>38</v>
      </c>
      <c r="C212">
        <v>1.17330002784729</v>
      </c>
      <c r="D212">
        <v>1.17394995689392</v>
      </c>
      <c r="E212">
        <v>1.1727999448776201</v>
      </c>
      <c r="F212">
        <v>1.17379999160766</v>
      </c>
      <c r="G212">
        <v>68</v>
      </c>
      <c r="H212">
        <v>1.1744100093841501</v>
      </c>
      <c r="I212">
        <v>-6.0999393463134701E-4</v>
      </c>
      <c r="J212" t="str">
        <f t="shared" si="27"/>
        <v>DOWN</v>
      </c>
      <c r="K212">
        <v>1.1765590047836301</v>
      </c>
      <c r="L212" s="1">
        <v>-8.2998275756862502E-5</v>
      </c>
      <c r="M212" t="str">
        <f t="shared" si="28"/>
        <v>DOWN</v>
      </c>
      <c r="N212">
        <v>-2.1489953994751E-3</v>
      </c>
      <c r="O212" t="str">
        <f t="shared" si="29"/>
        <v>DOWN</v>
      </c>
      <c r="P212">
        <v>34.793835989033397</v>
      </c>
      <c r="Q212">
        <v>-4.7189848806507797</v>
      </c>
      <c r="R212" t="str">
        <f t="shared" si="30"/>
        <v>DOWN</v>
      </c>
      <c r="S212">
        <v>1.17414999008178</v>
      </c>
      <c r="T212" t="str">
        <f t="shared" si="24"/>
        <v>DOWN</v>
      </c>
      <c r="U212">
        <v>1.17400002479553</v>
      </c>
      <c r="V212" t="str">
        <f t="shared" si="31"/>
        <v>DOWN</v>
      </c>
      <c r="W212">
        <v>1.17420005798339</v>
      </c>
      <c r="X212" t="str">
        <f t="shared" si="25"/>
        <v>DOWN</v>
      </c>
      <c r="Y212">
        <v>1.1744999885559</v>
      </c>
      <c r="Z212" t="str">
        <f t="shared" si="26"/>
        <v>DOWN</v>
      </c>
      <c r="AA212">
        <v>0</v>
      </c>
      <c r="AB212">
        <v>0</v>
      </c>
      <c r="AC212">
        <v>0</v>
      </c>
      <c r="AD212">
        <v>0</v>
      </c>
    </row>
    <row r="213" spans="1:30" hidden="1" x14ac:dyDescent="0.35">
      <c r="A213" s="2">
        <v>45888</v>
      </c>
      <c r="B213" t="s">
        <v>28</v>
      </c>
      <c r="C213">
        <v>1.1732000112533501</v>
      </c>
      <c r="D213">
        <v>1.1732000112533501</v>
      </c>
      <c r="E213">
        <v>1.1728500127792301</v>
      </c>
      <c r="F213">
        <v>1.1728500127792301</v>
      </c>
      <c r="G213">
        <v>7</v>
      </c>
      <c r="H213">
        <v>1.1739100217819201</v>
      </c>
      <c r="I213">
        <v>-4.9998760223379703E-4</v>
      </c>
      <c r="J213" t="str">
        <f t="shared" si="27"/>
        <v>DOWN</v>
      </c>
      <c r="K213">
        <v>1.1764450049400299</v>
      </c>
      <c r="L213">
        <v>-1.13999843597278E-4</v>
      </c>
      <c r="M213" t="str">
        <f t="shared" si="28"/>
        <v>DOWN</v>
      </c>
      <c r="N213">
        <v>-2.5349831581116199E-3</v>
      </c>
      <c r="O213" t="str">
        <f t="shared" si="29"/>
        <v>DOWN</v>
      </c>
      <c r="P213">
        <v>34.303550192688803</v>
      </c>
      <c r="Q213">
        <v>-0.49028579634459302</v>
      </c>
      <c r="R213" t="str">
        <f t="shared" si="30"/>
        <v>DOWN</v>
      </c>
      <c r="S213">
        <v>1.1727999448776201</v>
      </c>
      <c r="T213" t="str">
        <f t="shared" si="24"/>
        <v>UP</v>
      </c>
      <c r="U213">
        <v>1.17414999008178</v>
      </c>
      <c r="V213" t="str">
        <f t="shared" si="31"/>
        <v>DOWN</v>
      </c>
      <c r="W213">
        <v>1.17394995689392</v>
      </c>
      <c r="X213" t="str">
        <f t="shared" si="25"/>
        <v>DOWN</v>
      </c>
      <c r="Y213">
        <v>1.17420005798339</v>
      </c>
      <c r="Z213" t="str">
        <f t="shared" si="26"/>
        <v>DOWN</v>
      </c>
      <c r="AA213">
        <v>0</v>
      </c>
      <c r="AB213">
        <v>0</v>
      </c>
      <c r="AC213">
        <v>0</v>
      </c>
      <c r="AD213">
        <v>0</v>
      </c>
    </row>
    <row r="214" spans="1:30" hidden="1" x14ac:dyDescent="0.35">
      <c r="A214" s="2">
        <v>45888</v>
      </c>
      <c r="B214" t="s">
        <v>42</v>
      </c>
      <c r="C214">
        <v>1.1727000474929801</v>
      </c>
      <c r="D214">
        <v>1.1729999780654901</v>
      </c>
      <c r="E214">
        <v>1.1727000474929801</v>
      </c>
      <c r="F214">
        <v>1.1729999780654901</v>
      </c>
      <c r="G214">
        <v>0</v>
      </c>
      <c r="H214">
        <v>1.17352004051208</v>
      </c>
      <c r="I214">
        <v>-3.8998126983646997E-4</v>
      </c>
      <c r="J214" t="str">
        <f t="shared" si="27"/>
        <v>DOWN</v>
      </c>
      <c r="K214">
        <v>1.1763030052185</v>
      </c>
      <c r="L214">
        <v>-1.41999721527064E-4</v>
      </c>
      <c r="M214" t="str">
        <f t="shared" si="28"/>
        <v>DOWN</v>
      </c>
      <c r="N214">
        <v>-2.7829647064210299E-3</v>
      </c>
      <c r="O214" t="str">
        <f t="shared" si="29"/>
        <v>DOWN</v>
      </c>
      <c r="P214">
        <v>31.884847476023999</v>
      </c>
      <c r="Q214">
        <v>-2.4187027166647899</v>
      </c>
      <c r="R214" t="str">
        <f t="shared" si="30"/>
        <v>DOWN</v>
      </c>
      <c r="S214">
        <v>1.1728500127792301</v>
      </c>
      <c r="T214" t="str">
        <f t="shared" si="24"/>
        <v>DOWN</v>
      </c>
      <c r="U214">
        <v>1.1727999448776201</v>
      </c>
      <c r="V214" t="str">
        <f t="shared" si="31"/>
        <v>DOWN</v>
      </c>
      <c r="W214">
        <v>1.1732000112533501</v>
      </c>
      <c r="X214" t="str">
        <f t="shared" si="25"/>
        <v>DOWN</v>
      </c>
      <c r="Y214">
        <v>1.17394995689392</v>
      </c>
      <c r="Z214" t="str">
        <f t="shared" si="26"/>
        <v>DOWN</v>
      </c>
      <c r="AA214">
        <v>0</v>
      </c>
      <c r="AB214">
        <v>0</v>
      </c>
      <c r="AC214">
        <v>0</v>
      </c>
      <c r="AD214">
        <v>0</v>
      </c>
    </row>
    <row r="215" spans="1:30" hidden="1" x14ac:dyDescent="0.35">
      <c r="A215" s="2">
        <v>45889</v>
      </c>
      <c r="B215" t="s">
        <v>29</v>
      </c>
      <c r="C215">
        <v>1.1723500490188501</v>
      </c>
      <c r="D215">
        <v>1.1723999977111801</v>
      </c>
      <c r="E215">
        <v>1.1719000339507999</v>
      </c>
      <c r="F215">
        <v>1.1720000505447301</v>
      </c>
      <c r="G215">
        <v>11</v>
      </c>
      <c r="H215">
        <v>1.17315003871917</v>
      </c>
      <c r="I215">
        <v>-3.7000179290758102E-4</v>
      </c>
      <c r="J215" t="str">
        <f t="shared" si="27"/>
        <v>DOWN</v>
      </c>
      <c r="K215">
        <v>1.1761660051345799</v>
      </c>
      <c r="L215">
        <v>-1.37000083923366E-4</v>
      </c>
      <c r="M215" t="str">
        <f t="shared" si="28"/>
        <v>DOWN</v>
      </c>
      <c r="N215">
        <v>-3.0159664154052399E-3</v>
      </c>
      <c r="O215" t="str">
        <f t="shared" si="29"/>
        <v>DOWN</v>
      </c>
      <c r="P215">
        <v>30.275509736340801</v>
      </c>
      <c r="Q215">
        <v>-1.60933773968322</v>
      </c>
      <c r="R215" t="str">
        <f t="shared" si="30"/>
        <v>DOWN</v>
      </c>
      <c r="S215">
        <v>1.1727000474929801</v>
      </c>
      <c r="T215" t="str">
        <f t="shared" si="24"/>
        <v>DOWN</v>
      </c>
      <c r="U215">
        <v>1.1728500127792301</v>
      </c>
      <c r="V215" t="str">
        <f t="shared" si="31"/>
        <v>DOWN</v>
      </c>
      <c r="W215">
        <v>1.1729999780654901</v>
      </c>
      <c r="X215" t="str">
        <f t="shared" si="25"/>
        <v>DOWN</v>
      </c>
      <c r="Y215">
        <v>1.1732000112533501</v>
      </c>
      <c r="Z215" t="str">
        <f t="shared" si="26"/>
        <v>DOWN</v>
      </c>
      <c r="AA215">
        <v>0</v>
      </c>
      <c r="AB215">
        <v>0</v>
      </c>
      <c r="AC215">
        <v>0</v>
      </c>
      <c r="AD215">
        <v>0</v>
      </c>
    </row>
    <row r="216" spans="1:30" hidden="1" x14ac:dyDescent="0.35">
      <c r="A216" s="2">
        <v>45889</v>
      </c>
      <c r="B216" t="s">
        <v>30</v>
      </c>
      <c r="C216">
        <v>1.1716500520706099</v>
      </c>
      <c r="D216">
        <v>1.1716500520706099</v>
      </c>
      <c r="E216">
        <v>1.1715500354766799</v>
      </c>
      <c r="F216">
        <v>1.1715500354766799</v>
      </c>
      <c r="G216">
        <v>3</v>
      </c>
      <c r="H216">
        <v>1.1726400375366199</v>
      </c>
      <c r="I216">
        <v>-5.1000118255628503E-4</v>
      </c>
      <c r="J216" t="str">
        <f t="shared" si="27"/>
        <v>DOWN</v>
      </c>
      <c r="K216">
        <v>1.17601900577545</v>
      </c>
      <c r="L216">
        <v>-1.4699935913098299E-4</v>
      </c>
      <c r="M216" t="str">
        <f t="shared" si="28"/>
        <v>DOWN</v>
      </c>
      <c r="N216">
        <v>-3.37896823883054E-3</v>
      </c>
      <c r="O216" t="str">
        <f t="shared" si="29"/>
        <v>DOWN</v>
      </c>
      <c r="P216">
        <v>27.306919584417901</v>
      </c>
      <c r="Q216">
        <v>-2.9685901519229301</v>
      </c>
      <c r="R216" t="str">
        <f t="shared" si="30"/>
        <v>DOWN</v>
      </c>
      <c r="S216">
        <v>1.1719000339507999</v>
      </c>
      <c r="T216" t="str">
        <f t="shared" si="24"/>
        <v>DOWN</v>
      </c>
      <c r="U216">
        <v>1.1727000474929801</v>
      </c>
      <c r="V216" t="str">
        <f t="shared" si="31"/>
        <v>DOWN</v>
      </c>
      <c r="W216">
        <v>1.1723999977111801</v>
      </c>
      <c r="X216" t="str">
        <f t="shared" si="25"/>
        <v>DOWN</v>
      </c>
      <c r="Y216">
        <v>1.1729999780654901</v>
      </c>
      <c r="Z216" t="str">
        <f t="shared" si="26"/>
        <v>DOWN</v>
      </c>
      <c r="AA216">
        <v>0</v>
      </c>
      <c r="AB216">
        <v>0</v>
      </c>
      <c r="AC216">
        <v>0</v>
      </c>
      <c r="AD216">
        <v>0</v>
      </c>
    </row>
    <row r="217" spans="1:30" hidden="1" x14ac:dyDescent="0.35">
      <c r="A217" s="2">
        <v>45889</v>
      </c>
      <c r="B217" t="s">
        <v>31</v>
      </c>
      <c r="C217">
        <v>1.17065000534057</v>
      </c>
      <c r="D217">
        <v>1.1711499691009499</v>
      </c>
      <c r="E217">
        <v>1.17065000534057</v>
      </c>
      <c r="F217">
        <v>1.1710000038146899</v>
      </c>
      <c r="G217">
        <v>10</v>
      </c>
      <c r="H217">
        <v>1.1721100330352701</v>
      </c>
      <c r="I217">
        <v>-5.30004501342773E-4</v>
      </c>
      <c r="J217" t="str">
        <f t="shared" si="27"/>
        <v>DOWN</v>
      </c>
      <c r="K217">
        <v>1.1758560061454699</v>
      </c>
      <c r="L217">
        <v>-1.6299962997434701E-4</v>
      </c>
      <c r="M217" t="str">
        <f t="shared" si="28"/>
        <v>DOWN</v>
      </c>
      <c r="N217">
        <v>-3.7459731101989698E-3</v>
      </c>
      <c r="O217" t="str">
        <f t="shared" si="29"/>
        <v>DOWN</v>
      </c>
      <c r="P217">
        <v>23.727450001786899</v>
      </c>
      <c r="Q217">
        <v>-3.5794695826309901</v>
      </c>
      <c r="R217" t="str">
        <f t="shared" si="30"/>
        <v>DOWN</v>
      </c>
      <c r="S217">
        <v>1.1715500354766799</v>
      </c>
      <c r="T217" t="str">
        <f t="shared" si="24"/>
        <v>DOWN</v>
      </c>
      <c r="U217">
        <v>1.1719000339507999</v>
      </c>
      <c r="V217" t="str">
        <f t="shared" si="31"/>
        <v>DOWN</v>
      </c>
      <c r="W217">
        <v>1.1716500520706099</v>
      </c>
      <c r="X217" t="str">
        <f t="shared" si="25"/>
        <v>DOWN</v>
      </c>
      <c r="Y217">
        <v>1.1723999977111801</v>
      </c>
      <c r="Z217" t="str">
        <f t="shared" si="26"/>
        <v>DOWN</v>
      </c>
      <c r="AA217">
        <v>0</v>
      </c>
      <c r="AB217">
        <v>1</v>
      </c>
      <c r="AC217">
        <v>0</v>
      </c>
      <c r="AD217">
        <v>0</v>
      </c>
    </row>
    <row r="218" spans="1:30" hidden="1" x14ac:dyDescent="0.35">
      <c r="A218" s="2">
        <v>45889</v>
      </c>
      <c r="B218" t="s">
        <v>32</v>
      </c>
      <c r="C218">
        <v>1.1717499494552599</v>
      </c>
      <c r="D218">
        <v>1.1718499660491899</v>
      </c>
      <c r="E218">
        <v>1.1713000535964899</v>
      </c>
      <c r="F218">
        <v>1.1713000535964899</v>
      </c>
      <c r="G218">
        <v>34</v>
      </c>
      <c r="H218">
        <v>1.1718200206756499</v>
      </c>
      <c r="I218">
        <v>-2.9001235961900702E-4</v>
      </c>
      <c r="J218" t="str">
        <f t="shared" si="27"/>
        <v>DOWN</v>
      </c>
      <c r="K218">
        <v>1.17571100473403</v>
      </c>
      <c r="L218">
        <v>-1.4500141143791701E-4</v>
      </c>
      <c r="M218" t="str">
        <f t="shared" si="28"/>
        <v>DOWN</v>
      </c>
      <c r="N218">
        <v>-3.89098405838006E-3</v>
      </c>
      <c r="O218" t="str">
        <f t="shared" si="29"/>
        <v>DOWN</v>
      </c>
      <c r="P218">
        <v>33.978459339980702</v>
      </c>
      <c r="Q218">
        <v>10.2510093381938</v>
      </c>
      <c r="R218" t="str">
        <f t="shared" si="30"/>
        <v>UP</v>
      </c>
      <c r="S218">
        <v>1.17065000534057</v>
      </c>
      <c r="T218" t="str">
        <f t="shared" si="24"/>
        <v>UP</v>
      </c>
      <c r="U218">
        <v>1.1715500354766799</v>
      </c>
      <c r="V218" t="str">
        <f t="shared" si="31"/>
        <v>DOWN</v>
      </c>
      <c r="W218">
        <v>1.1711499691009499</v>
      </c>
      <c r="X218" t="str">
        <f t="shared" si="25"/>
        <v>UP</v>
      </c>
      <c r="Y218">
        <v>1.1716500520706099</v>
      </c>
      <c r="Z218" t="str">
        <f t="shared" si="26"/>
        <v>UP</v>
      </c>
      <c r="AA218">
        <v>0</v>
      </c>
      <c r="AB218">
        <v>0</v>
      </c>
      <c r="AC218">
        <v>0</v>
      </c>
      <c r="AD218">
        <v>0</v>
      </c>
    </row>
    <row r="219" spans="1:30" hidden="1" x14ac:dyDescent="0.35">
      <c r="A219" s="2">
        <v>45889</v>
      </c>
      <c r="B219" t="s">
        <v>33</v>
      </c>
      <c r="C219">
        <v>1.1721500158309901</v>
      </c>
      <c r="D219">
        <v>1.1721999645233101</v>
      </c>
      <c r="E219">
        <v>1.1721500158309901</v>
      </c>
      <c r="F219">
        <v>1.1721999645233101</v>
      </c>
      <c r="G219">
        <v>2</v>
      </c>
      <c r="H219">
        <v>1.1717100143432599</v>
      </c>
      <c r="I219">
        <v>-1.10006332397549E-4</v>
      </c>
      <c r="J219" t="str">
        <f t="shared" si="27"/>
        <v>DOWN</v>
      </c>
      <c r="K219">
        <v>1.17557500600814</v>
      </c>
      <c r="L219">
        <v>-1.35998725891095E-4</v>
      </c>
      <c r="M219" t="str">
        <f t="shared" si="28"/>
        <v>DOWN</v>
      </c>
      <c r="N219">
        <v>-3.8649916648865099E-3</v>
      </c>
      <c r="O219" t="str">
        <f t="shared" si="29"/>
        <v>DOWN</v>
      </c>
      <c r="P219">
        <v>37.280244667615499</v>
      </c>
      <c r="Q219">
        <v>3.3017853276347999</v>
      </c>
      <c r="R219" t="str">
        <f t="shared" si="30"/>
        <v>UP</v>
      </c>
      <c r="S219">
        <v>1.1713000535964899</v>
      </c>
      <c r="T219" t="str">
        <f t="shared" si="24"/>
        <v>UP</v>
      </c>
      <c r="U219">
        <v>1.17065000534057</v>
      </c>
      <c r="V219" t="str">
        <f t="shared" si="31"/>
        <v>UP</v>
      </c>
      <c r="W219">
        <v>1.1718499660491899</v>
      </c>
      <c r="X219" t="str">
        <f t="shared" si="25"/>
        <v>UP</v>
      </c>
      <c r="Y219">
        <v>1.1711499691009499</v>
      </c>
      <c r="Z219" t="str">
        <f t="shared" si="26"/>
        <v>UP</v>
      </c>
      <c r="AA219">
        <v>0</v>
      </c>
      <c r="AB219">
        <v>0</v>
      </c>
      <c r="AC219">
        <v>0</v>
      </c>
      <c r="AD219">
        <v>0</v>
      </c>
    </row>
    <row r="220" spans="1:30" hidden="1" x14ac:dyDescent="0.35">
      <c r="A220" s="2">
        <v>45889</v>
      </c>
      <c r="B220" t="s">
        <v>41</v>
      </c>
      <c r="C220">
        <v>1.1723500490188501</v>
      </c>
      <c r="D220">
        <v>1.1723999977111801</v>
      </c>
      <c r="E220">
        <v>1.1717000007629299</v>
      </c>
      <c r="F220">
        <v>1.1717000007629299</v>
      </c>
      <c r="G220">
        <v>19</v>
      </c>
      <c r="H220">
        <v>1.1717100143432599</v>
      </c>
      <c r="I220">
        <v>0</v>
      </c>
      <c r="J220" t="str">
        <f t="shared" si="27"/>
        <v>DOWN</v>
      </c>
      <c r="K220">
        <v>1.1754400062560999</v>
      </c>
      <c r="L220">
        <v>-1.3499975204478399E-4</v>
      </c>
      <c r="M220" t="str">
        <f t="shared" si="28"/>
        <v>DOWN</v>
      </c>
      <c r="N220">
        <v>-3.7299919128417299E-3</v>
      </c>
      <c r="O220" t="str">
        <f t="shared" si="29"/>
        <v>DOWN</v>
      </c>
      <c r="P220">
        <v>38.924926387520301</v>
      </c>
      <c r="Q220">
        <v>1.6446817199048001</v>
      </c>
      <c r="R220" t="str">
        <f t="shared" si="30"/>
        <v>UP</v>
      </c>
      <c r="S220">
        <v>1.1721500158309901</v>
      </c>
      <c r="T220" t="str">
        <f t="shared" si="24"/>
        <v>DOWN</v>
      </c>
      <c r="U220">
        <v>1.1713000535964899</v>
      </c>
      <c r="V220" t="str">
        <f t="shared" si="31"/>
        <v>UP</v>
      </c>
      <c r="W220">
        <v>1.1721999645233101</v>
      </c>
      <c r="X220" t="str">
        <f t="shared" si="25"/>
        <v>UP</v>
      </c>
      <c r="Y220">
        <v>1.1718499660491899</v>
      </c>
      <c r="Z220" t="str">
        <f t="shared" si="26"/>
        <v>UP</v>
      </c>
      <c r="AA220">
        <v>0</v>
      </c>
      <c r="AB220">
        <v>0</v>
      </c>
      <c r="AC220">
        <v>0</v>
      </c>
      <c r="AD220">
        <v>0</v>
      </c>
    </row>
    <row r="221" spans="1:30" hidden="1" x14ac:dyDescent="0.35">
      <c r="A221" s="2">
        <v>45889</v>
      </c>
      <c r="B221" t="s">
        <v>34</v>
      </c>
      <c r="C221">
        <v>1.1717499494552599</v>
      </c>
      <c r="D221">
        <v>1.1725000143051101</v>
      </c>
      <c r="E221">
        <v>1.1708999872207599</v>
      </c>
      <c r="F221">
        <v>1.1725000143051101</v>
      </c>
      <c r="G221">
        <v>19</v>
      </c>
      <c r="H221">
        <v>1.1717299938201899</v>
      </c>
      <c r="I221" s="1">
        <v>1.9979476928666501E-5</v>
      </c>
      <c r="J221" t="str">
        <f t="shared" si="27"/>
        <v>UP</v>
      </c>
      <c r="K221">
        <v>1.1752750062942501</v>
      </c>
      <c r="L221">
        <v>-1.6499996185292899E-4</v>
      </c>
      <c r="M221" t="str">
        <f t="shared" si="28"/>
        <v>DOWN</v>
      </c>
      <c r="N221">
        <v>-3.5450124740601299E-3</v>
      </c>
      <c r="O221" t="str">
        <f t="shared" si="29"/>
        <v>DOWN</v>
      </c>
      <c r="P221">
        <v>35.884784904686697</v>
      </c>
      <c r="Q221">
        <v>-3.0401414828336502</v>
      </c>
      <c r="R221" t="str">
        <f t="shared" si="30"/>
        <v>DOWN</v>
      </c>
      <c r="S221">
        <v>1.1717000007629299</v>
      </c>
      <c r="T221" t="str">
        <f t="shared" si="24"/>
        <v>DOWN</v>
      </c>
      <c r="U221">
        <v>1.1721500158309901</v>
      </c>
      <c r="V221" t="str">
        <f t="shared" si="31"/>
        <v>DOWN</v>
      </c>
      <c r="W221">
        <v>1.1723999977111801</v>
      </c>
      <c r="X221" t="str">
        <f t="shared" si="25"/>
        <v>UP</v>
      </c>
      <c r="Y221">
        <v>1.1721999645233101</v>
      </c>
      <c r="Z221" t="str">
        <f t="shared" si="26"/>
        <v>UP</v>
      </c>
      <c r="AA221">
        <v>0</v>
      </c>
      <c r="AB221">
        <v>0</v>
      </c>
      <c r="AC221">
        <v>0</v>
      </c>
      <c r="AD221">
        <v>0</v>
      </c>
    </row>
    <row r="222" spans="1:30" hidden="1" x14ac:dyDescent="0.35">
      <c r="A222" s="2">
        <v>45889</v>
      </c>
      <c r="B222" t="s">
        <v>35</v>
      </c>
      <c r="C222">
        <v>1.1723500490188501</v>
      </c>
      <c r="D222">
        <v>1.1727499961853001</v>
      </c>
      <c r="E222">
        <v>1.1723500490188501</v>
      </c>
      <c r="F222">
        <v>1.1723500490188501</v>
      </c>
      <c r="G222">
        <v>11</v>
      </c>
      <c r="H222">
        <v>1.1720700025558399</v>
      </c>
      <c r="I222">
        <v>3.4000873565687102E-4</v>
      </c>
      <c r="J222" t="str">
        <f t="shared" si="27"/>
        <v>UP</v>
      </c>
      <c r="K222">
        <v>1.17513700723648</v>
      </c>
      <c r="L222">
        <v>-1.37999057769899E-4</v>
      </c>
      <c r="M222" t="str">
        <f t="shared" si="28"/>
        <v>DOWN</v>
      </c>
      <c r="N222">
        <v>-3.0670046806333599E-3</v>
      </c>
      <c r="O222" t="str">
        <f t="shared" si="29"/>
        <v>DOWN</v>
      </c>
      <c r="P222">
        <v>40.859156166278503</v>
      </c>
      <c r="Q222">
        <v>4.9743712615918199</v>
      </c>
      <c r="R222" t="str">
        <f t="shared" si="30"/>
        <v>UP</v>
      </c>
      <c r="S222">
        <v>1.1708999872207599</v>
      </c>
      <c r="T222" t="str">
        <f t="shared" si="24"/>
        <v>UP</v>
      </c>
      <c r="U222">
        <v>1.1717000007629299</v>
      </c>
      <c r="V222" t="str">
        <f t="shared" si="31"/>
        <v>UP</v>
      </c>
      <c r="W222">
        <v>1.1725000143051101</v>
      </c>
      <c r="X222" t="str">
        <f t="shared" si="25"/>
        <v>UP</v>
      </c>
      <c r="Y222">
        <v>1.1723999977111801</v>
      </c>
      <c r="Z222" t="str">
        <f t="shared" si="26"/>
        <v>UP</v>
      </c>
      <c r="AA222">
        <v>0</v>
      </c>
      <c r="AB222">
        <v>0</v>
      </c>
      <c r="AC222">
        <v>0</v>
      </c>
      <c r="AD222">
        <v>0</v>
      </c>
    </row>
    <row r="223" spans="1:30" hidden="1" x14ac:dyDescent="0.35">
      <c r="A223" s="2">
        <v>45889</v>
      </c>
      <c r="B223" t="s">
        <v>36</v>
      </c>
      <c r="C223">
        <v>1.1720999479293801</v>
      </c>
      <c r="D223">
        <v>1.1730999946594201</v>
      </c>
      <c r="E223">
        <v>1.1720999479293801</v>
      </c>
      <c r="F223">
        <v>1.1730999946594201</v>
      </c>
      <c r="G223">
        <v>13</v>
      </c>
      <c r="H223">
        <v>1.1721400022506701</v>
      </c>
      <c r="I223" s="1">
        <v>6.9999694824129905E-5</v>
      </c>
      <c r="J223" t="str">
        <f t="shared" si="27"/>
        <v>UP</v>
      </c>
      <c r="K223">
        <v>1.1750080060958801</v>
      </c>
      <c r="L223">
        <v>-1.29001140594331E-4</v>
      </c>
      <c r="M223" t="str">
        <f t="shared" si="28"/>
        <v>DOWN</v>
      </c>
      <c r="N223">
        <v>-2.8680038452148999E-3</v>
      </c>
      <c r="O223" t="str">
        <f t="shared" si="29"/>
        <v>DOWN</v>
      </c>
      <c r="P223">
        <v>39.484235066201201</v>
      </c>
      <c r="Q223">
        <v>-1.3749211000772901</v>
      </c>
      <c r="R223" t="str">
        <f t="shared" si="30"/>
        <v>DOWN</v>
      </c>
      <c r="S223">
        <v>1.1723500490188501</v>
      </c>
      <c r="T223" t="str">
        <f t="shared" si="24"/>
        <v>DOWN</v>
      </c>
      <c r="U223">
        <v>1.1708999872207599</v>
      </c>
      <c r="V223" t="str">
        <f t="shared" si="31"/>
        <v>UP</v>
      </c>
      <c r="W223">
        <v>1.1727499961853001</v>
      </c>
      <c r="X223" t="str">
        <f t="shared" si="25"/>
        <v>UP</v>
      </c>
      <c r="Y223">
        <v>1.1725000143051101</v>
      </c>
      <c r="Z223" t="str">
        <f t="shared" si="26"/>
        <v>UP</v>
      </c>
      <c r="AA223">
        <v>0</v>
      </c>
      <c r="AB223">
        <v>0</v>
      </c>
      <c r="AC223">
        <v>0</v>
      </c>
      <c r="AD223">
        <v>0</v>
      </c>
    </row>
    <row r="224" spans="1:30" hidden="1" x14ac:dyDescent="0.35">
      <c r="A224" s="2">
        <v>45889</v>
      </c>
      <c r="B224" t="s">
        <v>37</v>
      </c>
      <c r="C224">
        <v>1.1728500127792301</v>
      </c>
      <c r="D224">
        <v>1.1728500127792301</v>
      </c>
      <c r="E224">
        <v>1.1720999479293801</v>
      </c>
      <c r="F224">
        <v>1.1721500158309901</v>
      </c>
      <c r="G224">
        <v>10</v>
      </c>
      <c r="H224">
        <v>1.1722800016403101</v>
      </c>
      <c r="I224">
        <v>1.3999938964848099E-4</v>
      </c>
      <c r="J224" t="str">
        <f t="shared" si="27"/>
        <v>UP</v>
      </c>
      <c r="K224">
        <v>1.17489500522613</v>
      </c>
      <c r="L224">
        <v>-1.13000869750967E-4</v>
      </c>
      <c r="M224" t="str">
        <f t="shared" si="28"/>
        <v>DOWN</v>
      </c>
      <c r="N224">
        <v>-2.6150035858154498E-3</v>
      </c>
      <c r="O224" t="str">
        <f t="shared" si="29"/>
        <v>DOWN</v>
      </c>
      <c r="P224">
        <v>45.4164647491206</v>
      </c>
      <c r="Q224">
        <v>5.9322296829193899</v>
      </c>
      <c r="R224" t="str">
        <f t="shared" si="30"/>
        <v>UP</v>
      </c>
      <c r="S224">
        <v>1.1720999479293801</v>
      </c>
      <c r="T224" t="str">
        <f t="shared" si="24"/>
        <v>UP</v>
      </c>
      <c r="U224">
        <v>1.1723500490188501</v>
      </c>
      <c r="V224" t="str">
        <f t="shared" si="31"/>
        <v>DOWN</v>
      </c>
      <c r="W224">
        <v>1.1730999946594201</v>
      </c>
      <c r="X224" t="str">
        <f t="shared" si="25"/>
        <v>DOWN</v>
      </c>
      <c r="Y224">
        <v>1.1727499961853001</v>
      </c>
      <c r="Z224" t="str">
        <f t="shared" si="26"/>
        <v>UP</v>
      </c>
      <c r="AA224">
        <v>0</v>
      </c>
      <c r="AB224">
        <v>0</v>
      </c>
      <c r="AC224">
        <v>0</v>
      </c>
      <c r="AD224">
        <v>0</v>
      </c>
    </row>
    <row r="225" spans="1:30" hidden="1" x14ac:dyDescent="0.35">
      <c r="A225" s="2">
        <v>45889</v>
      </c>
      <c r="B225" t="s">
        <v>20</v>
      </c>
      <c r="C225">
        <v>1.17330002784729</v>
      </c>
      <c r="D225">
        <v>1.17375004291534</v>
      </c>
      <c r="E225">
        <v>1.1731499433517401</v>
      </c>
      <c r="F225">
        <v>1.1731499433517401</v>
      </c>
      <c r="G225">
        <v>14</v>
      </c>
      <c r="H225">
        <v>1.172469997406</v>
      </c>
      <c r="I225">
        <v>1.8999576568590101E-4</v>
      </c>
      <c r="J225" t="str">
        <f t="shared" si="27"/>
        <v>UP</v>
      </c>
      <c r="K225">
        <v>1.1747810053825301</v>
      </c>
      <c r="L225">
        <v>-1.1399984359750001E-4</v>
      </c>
      <c r="M225" t="str">
        <f t="shared" si="28"/>
        <v>DOWN</v>
      </c>
      <c r="N225">
        <v>-2.31100797653205E-3</v>
      </c>
      <c r="O225" t="str">
        <f t="shared" si="29"/>
        <v>DOWN</v>
      </c>
      <c r="P225">
        <v>48.667732980189598</v>
      </c>
      <c r="Q225">
        <v>3.25126823106902</v>
      </c>
      <c r="R225" t="str">
        <f t="shared" si="30"/>
        <v>UP</v>
      </c>
      <c r="S225">
        <v>1.1720999479293801</v>
      </c>
      <c r="T225" t="str">
        <f t="shared" si="24"/>
        <v>UP</v>
      </c>
      <c r="U225">
        <v>1.1720999479293801</v>
      </c>
      <c r="V225" t="str">
        <f t="shared" si="31"/>
        <v>UP</v>
      </c>
      <c r="W225">
        <v>1.1728500127792301</v>
      </c>
      <c r="X225" t="str">
        <f t="shared" si="25"/>
        <v>UP</v>
      </c>
      <c r="Y225">
        <v>1.1730999946594201</v>
      </c>
      <c r="Z225" t="str">
        <f t="shared" si="26"/>
        <v>UP</v>
      </c>
      <c r="AA225">
        <v>0</v>
      </c>
      <c r="AB225">
        <v>0</v>
      </c>
      <c r="AC225">
        <v>0</v>
      </c>
      <c r="AD225">
        <v>0</v>
      </c>
    </row>
    <row r="226" spans="1:30" hidden="1" x14ac:dyDescent="0.35">
      <c r="A226" s="2">
        <v>45889</v>
      </c>
      <c r="B226" t="s">
        <v>21</v>
      </c>
      <c r="C226">
        <v>1.1726499795913601</v>
      </c>
      <c r="D226">
        <v>1.1729500293731601</v>
      </c>
      <c r="E226">
        <v>1.1725499629974301</v>
      </c>
      <c r="F226">
        <v>1.1728999614715501</v>
      </c>
      <c r="G226">
        <v>17</v>
      </c>
      <c r="H226">
        <v>1.1726500034332199</v>
      </c>
      <c r="I226">
        <v>1.8000602722167901E-4</v>
      </c>
      <c r="J226" t="str">
        <f t="shared" si="27"/>
        <v>UP</v>
      </c>
      <c r="K226">
        <v>1.17465000391006</v>
      </c>
      <c r="L226">
        <v>-1.31001472473135E-4</v>
      </c>
      <c r="M226" t="str">
        <f t="shared" si="28"/>
        <v>DOWN</v>
      </c>
      <c r="N226">
        <v>-2.0000004768372299E-3</v>
      </c>
      <c r="O226" t="str">
        <f t="shared" si="29"/>
        <v>DOWN</v>
      </c>
      <c r="P226">
        <v>44.540582904630703</v>
      </c>
      <c r="Q226">
        <v>-4.1271500755588999</v>
      </c>
      <c r="R226" t="str">
        <f t="shared" si="30"/>
        <v>DOWN</v>
      </c>
      <c r="S226">
        <v>1.1731499433517401</v>
      </c>
      <c r="T226" t="str">
        <f t="shared" si="24"/>
        <v>DOWN</v>
      </c>
      <c r="U226">
        <v>1.1720999479293801</v>
      </c>
      <c r="V226" t="str">
        <f t="shared" si="31"/>
        <v>UP</v>
      </c>
      <c r="W226">
        <v>1.17375004291534</v>
      </c>
      <c r="X226" t="str">
        <f t="shared" si="25"/>
        <v>DOWN</v>
      </c>
      <c r="Y226">
        <v>1.1728500127792301</v>
      </c>
      <c r="Z226" t="str">
        <f t="shared" si="26"/>
        <v>UP</v>
      </c>
      <c r="AA226">
        <v>0</v>
      </c>
      <c r="AB226">
        <v>0</v>
      </c>
      <c r="AC226">
        <v>0</v>
      </c>
      <c r="AD226">
        <v>0</v>
      </c>
    </row>
    <row r="227" spans="1:30" hidden="1" x14ac:dyDescent="0.35">
      <c r="A227" s="2">
        <v>45889</v>
      </c>
      <c r="B227" t="s">
        <v>22</v>
      </c>
      <c r="C227">
        <v>1.1757500171661299</v>
      </c>
      <c r="D227">
        <v>1.1757500171661299</v>
      </c>
      <c r="E227">
        <v>1.1730500459671001</v>
      </c>
      <c r="F227">
        <v>1.1730500459671001</v>
      </c>
      <c r="G227">
        <v>61</v>
      </c>
      <c r="H227">
        <v>1.17332999706268</v>
      </c>
      <c r="I227">
        <v>6.7999362945569898E-4</v>
      </c>
      <c r="J227" t="str">
        <f t="shared" si="27"/>
        <v>UP</v>
      </c>
      <c r="K227">
        <v>1.17458800315856</v>
      </c>
      <c r="L227" s="1">
        <v>-6.2000751495316906E-5</v>
      </c>
      <c r="M227" t="str">
        <f t="shared" si="28"/>
        <v>DOWN</v>
      </c>
      <c r="N227">
        <v>-1.2580060958862201E-3</v>
      </c>
      <c r="O227" t="str">
        <f t="shared" si="29"/>
        <v>DOWN</v>
      </c>
      <c r="P227">
        <v>61.366513459365301</v>
      </c>
      <c r="Q227">
        <v>16.825930554734501</v>
      </c>
      <c r="R227" t="str">
        <f t="shared" si="30"/>
        <v>UP</v>
      </c>
      <c r="S227">
        <v>1.1725499629974301</v>
      </c>
      <c r="T227" t="str">
        <f t="shared" si="24"/>
        <v>UP</v>
      </c>
      <c r="U227">
        <v>1.1731499433517401</v>
      </c>
      <c r="V227" t="str">
        <f t="shared" si="31"/>
        <v>DOWN</v>
      </c>
      <c r="W227">
        <v>1.1729500293731601</v>
      </c>
      <c r="X227" t="str">
        <f t="shared" si="25"/>
        <v>UP</v>
      </c>
      <c r="Y227">
        <v>1.17375004291534</v>
      </c>
      <c r="Z227" t="str">
        <f t="shared" si="26"/>
        <v>UP</v>
      </c>
      <c r="AA227">
        <v>1</v>
      </c>
      <c r="AB227">
        <v>0</v>
      </c>
      <c r="AC227">
        <v>0</v>
      </c>
      <c r="AD227">
        <v>0</v>
      </c>
    </row>
    <row r="228" spans="1:30" hidden="1" x14ac:dyDescent="0.35">
      <c r="A228" s="2">
        <v>45889</v>
      </c>
      <c r="B228" t="s">
        <v>23</v>
      </c>
      <c r="C228">
        <v>1.17435002326965</v>
      </c>
      <c r="D228">
        <v>1.1756500005721999</v>
      </c>
      <c r="E228">
        <v>1.17435002326965</v>
      </c>
      <c r="F228">
        <v>1.1754499673843299</v>
      </c>
      <c r="G228">
        <v>63</v>
      </c>
      <c r="H228">
        <v>1.17378001213073</v>
      </c>
      <c r="I228">
        <v>4.50015068054199E-4</v>
      </c>
      <c r="J228" t="str">
        <f t="shared" si="27"/>
        <v>UP</v>
      </c>
      <c r="K228">
        <v>1.1745150041580199</v>
      </c>
      <c r="L228" s="1">
        <v>-7.2999000549245298E-5</v>
      </c>
      <c r="M228" t="str">
        <f t="shared" si="28"/>
        <v>DOWN</v>
      </c>
      <c r="N228">
        <v>-7.3499202728277702E-4</v>
      </c>
      <c r="O228" t="str">
        <f t="shared" si="29"/>
        <v>DOWN</v>
      </c>
      <c r="P228">
        <v>53.475979275599101</v>
      </c>
      <c r="Q228">
        <v>-7.8905341837661904</v>
      </c>
      <c r="R228" t="str">
        <f t="shared" si="30"/>
        <v>DOWN</v>
      </c>
      <c r="S228">
        <v>1.1730500459671001</v>
      </c>
      <c r="T228" t="str">
        <f t="shared" si="24"/>
        <v>UP</v>
      </c>
      <c r="U228">
        <v>1.1725499629974301</v>
      </c>
      <c r="V228" t="str">
        <f t="shared" si="31"/>
        <v>UP</v>
      </c>
      <c r="W228">
        <v>1.1757500171661299</v>
      </c>
      <c r="X228" t="str">
        <f t="shared" si="25"/>
        <v>DOWN</v>
      </c>
      <c r="Y228">
        <v>1.1729500293731601</v>
      </c>
      <c r="Z228" t="str">
        <f t="shared" si="26"/>
        <v>UP</v>
      </c>
      <c r="AA228">
        <v>0</v>
      </c>
      <c r="AB228">
        <v>0</v>
      </c>
      <c r="AC228">
        <v>0</v>
      </c>
      <c r="AD228">
        <v>0</v>
      </c>
    </row>
    <row r="229" spans="1:30" hidden="1" x14ac:dyDescent="0.35">
      <c r="A229" s="2">
        <v>45889</v>
      </c>
      <c r="B229" t="s">
        <v>24</v>
      </c>
      <c r="C229">
        <v>1.17499995231628</v>
      </c>
      <c r="D229">
        <v>1.17515003681182</v>
      </c>
      <c r="E229">
        <v>1.17349994182586</v>
      </c>
      <c r="F229">
        <v>1.17464995384216</v>
      </c>
      <c r="G229">
        <v>74</v>
      </c>
      <c r="H229">
        <v>1.1742100000381399</v>
      </c>
      <c r="I229">
        <v>4.2998790740966699E-4</v>
      </c>
      <c r="J229" t="str">
        <f t="shared" si="27"/>
        <v>UP</v>
      </c>
      <c r="K229">
        <v>1.17447500228881</v>
      </c>
      <c r="L229" s="1">
        <v>-4.0001869201722302E-5</v>
      </c>
      <c r="M229" t="str">
        <f t="shared" si="28"/>
        <v>DOWN</v>
      </c>
      <c r="N229">
        <v>-2.6500225067138601E-4</v>
      </c>
      <c r="O229" t="str">
        <f t="shared" si="29"/>
        <v>DOWN</v>
      </c>
      <c r="P229">
        <v>56.286063647627103</v>
      </c>
      <c r="Q229">
        <v>2.8100843720280402</v>
      </c>
      <c r="R229" t="str">
        <f t="shared" si="30"/>
        <v>UP</v>
      </c>
      <c r="S229">
        <v>1.17435002326965</v>
      </c>
      <c r="T229" t="str">
        <f t="shared" si="24"/>
        <v>DOWN</v>
      </c>
      <c r="U229">
        <v>1.1730500459671001</v>
      </c>
      <c r="V229" t="str">
        <f t="shared" si="31"/>
        <v>UP</v>
      </c>
      <c r="W229">
        <v>1.1756500005721999</v>
      </c>
      <c r="X229" t="str">
        <f t="shared" si="25"/>
        <v>DOWN</v>
      </c>
      <c r="Y229">
        <v>1.1757500171661299</v>
      </c>
      <c r="Z229" t="str">
        <f t="shared" si="26"/>
        <v>DOWN</v>
      </c>
      <c r="AA229">
        <v>0</v>
      </c>
      <c r="AB229">
        <v>0</v>
      </c>
      <c r="AC229">
        <v>0</v>
      </c>
      <c r="AD229">
        <v>0</v>
      </c>
    </row>
    <row r="230" spans="1:30" hidden="1" x14ac:dyDescent="0.35">
      <c r="A230" s="2">
        <v>45889</v>
      </c>
      <c r="B230" t="s">
        <v>25</v>
      </c>
      <c r="C230">
        <v>1.1730999946594201</v>
      </c>
      <c r="D230">
        <v>1.17460000514984</v>
      </c>
      <c r="E230">
        <v>1.1730999946594201</v>
      </c>
      <c r="F230">
        <v>1.17460000514984</v>
      </c>
      <c r="G230">
        <v>59</v>
      </c>
      <c r="H230">
        <v>1.17416999340057</v>
      </c>
      <c r="I230" s="1">
        <v>-4.0006637573197697E-5</v>
      </c>
      <c r="J230" t="str">
        <f t="shared" si="27"/>
        <v>DOWN</v>
      </c>
      <c r="K230">
        <v>1.17439800262451</v>
      </c>
      <c r="L230" s="1">
        <v>-7.6999664306631703E-5</v>
      </c>
      <c r="M230" t="str">
        <f t="shared" si="28"/>
        <v>DOWN</v>
      </c>
      <c r="N230">
        <v>-2.28009223937952E-4</v>
      </c>
      <c r="O230" t="str">
        <f t="shared" si="29"/>
        <v>DOWN</v>
      </c>
      <c r="P230">
        <v>47.293104830330599</v>
      </c>
      <c r="Q230">
        <v>-8.9929588172965094</v>
      </c>
      <c r="R230" t="str">
        <f t="shared" si="30"/>
        <v>DOWN</v>
      </c>
      <c r="S230">
        <v>1.17349994182586</v>
      </c>
      <c r="T230" t="str">
        <f t="shared" si="24"/>
        <v>DOWN</v>
      </c>
      <c r="U230">
        <v>1.17435002326965</v>
      </c>
      <c r="V230" t="str">
        <f t="shared" si="31"/>
        <v>DOWN</v>
      </c>
      <c r="W230">
        <v>1.17515003681182</v>
      </c>
      <c r="X230" t="str">
        <f t="shared" si="25"/>
        <v>DOWN</v>
      </c>
      <c r="Y230">
        <v>1.1756500005721999</v>
      </c>
      <c r="Z230" t="str">
        <f t="shared" si="26"/>
        <v>DOWN</v>
      </c>
      <c r="AA230">
        <v>0</v>
      </c>
      <c r="AB230">
        <v>0</v>
      </c>
      <c r="AC230">
        <v>0</v>
      </c>
      <c r="AD230">
        <v>0</v>
      </c>
    </row>
    <row r="231" spans="1:30" hidden="1" x14ac:dyDescent="0.35">
      <c r="A231" s="2">
        <v>45889</v>
      </c>
      <c r="B231" t="s">
        <v>26</v>
      </c>
      <c r="C231">
        <v>1.17425000667572</v>
      </c>
      <c r="D231">
        <v>1.17439997196197</v>
      </c>
      <c r="E231">
        <v>1.17340004444122</v>
      </c>
      <c r="F231">
        <v>1.17340004444122</v>
      </c>
      <c r="G231">
        <v>43</v>
      </c>
      <c r="H231">
        <v>1.17448999881744</v>
      </c>
      <c r="I231">
        <v>3.2000541686993901E-4</v>
      </c>
      <c r="J231" t="str">
        <f t="shared" si="27"/>
        <v>UP</v>
      </c>
      <c r="K231">
        <v>1.17435100317001</v>
      </c>
      <c r="L231" s="1">
        <v>-4.6999454498264303E-5</v>
      </c>
      <c r="M231" t="str">
        <f t="shared" si="28"/>
        <v>DOWN</v>
      </c>
      <c r="N231">
        <v>1.3899564743025101E-4</v>
      </c>
      <c r="O231" t="str">
        <f t="shared" si="29"/>
        <v>UP</v>
      </c>
      <c r="P231">
        <v>52.264583524625003</v>
      </c>
      <c r="Q231">
        <v>4.9714786942943698</v>
      </c>
      <c r="R231" t="str">
        <f t="shared" si="30"/>
        <v>UP</v>
      </c>
      <c r="S231">
        <v>1.1730999946594201</v>
      </c>
      <c r="T231" t="str">
        <f t="shared" si="24"/>
        <v>UP</v>
      </c>
      <c r="U231">
        <v>1.17349994182586</v>
      </c>
      <c r="V231" t="str">
        <f t="shared" si="31"/>
        <v>DOWN</v>
      </c>
      <c r="W231">
        <v>1.17460000514984</v>
      </c>
      <c r="X231" t="str">
        <f t="shared" si="25"/>
        <v>DOWN</v>
      </c>
      <c r="Y231">
        <v>1.17515003681182</v>
      </c>
      <c r="Z231" t="str">
        <f t="shared" si="26"/>
        <v>DOWN</v>
      </c>
      <c r="AA231">
        <v>0</v>
      </c>
      <c r="AB231">
        <v>0</v>
      </c>
      <c r="AC231">
        <v>0</v>
      </c>
      <c r="AD231">
        <v>0</v>
      </c>
    </row>
    <row r="232" spans="1:30" hidden="1" x14ac:dyDescent="0.35">
      <c r="A232" s="2">
        <v>45889</v>
      </c>
      <c r="B232" t="s">
        <v>27</v>
      </c>
      <c r="C232">
        <v>1.1756500005721999</v>
      </c>
      <c r="D232">
        <v>1.1756500005721999</v>
      </c>
      <c r="E232">
        <v>1.1744999885559</v>
      </c>
      <c r="F232">
        <v>1.1744999885559</v>
      </c>
      <c r="G232">
        <v>36</v>
      </c>
      <c r="H232">
        <v>1.1744699954986499</v>
      </c>
      <c r="I232" s="1">
        <v>-2.0003318786487799E-5</v>
      </c>
      <c r="J232" t="str">
        <f t="shared" si="27"/>
        <v>DOWN</v>
      </c>
      <c r="K232">
        <v>1.1743290042877099</v>
      </c>
      <c r="L232" s="1">
        <v>-2.1998882293816601E-5</v>
      </c>
      <c r="M232" t="str">
        <f t="shared" si="28"/>
        <v>DOWN</v>
      </c>
      <c r="N232">
        <v>1.4099121093757899E-4</v>
      </c>
      <c r="O232" t="str">
        <f t="shared" si="29"/>
        <v>UP</v>
      </c>
      <c r="P232">
        <v>57.517889324505902</v>
      </c>
      <c r="Q232">
        <v>5.2533057998809296</v>
      </c>
      <c r="R232" t="str">
        <f t="shared" si="30"/>
        <v>UP</v>
      </c>
      <c r="S232">
        <v>1.17340004444122</v>
      </c>
      <c r="T232" t="str">
        <f t="shared" si="24"/>
        <v>UP</v>
      </c>
      <c r="U232">
        <v>1.1730999946594201</v>
      </c>
      <c r="V232" t="str">
        <f t="shared" si="31"/>
        <v>UP</v>
      </c>
      <c r="W232">
        <v>1.17439997196197</v>
      </c>
      <c r="X232" t="str">
        <f t="shared" si="25"/>
        <v>UP</v>
      </c>
      <c r="Y232">
        <v>1.17460000514984</v>
      </c>
      <c r="Z232" t="str">
        <f t="shared" si="26"/>
        <v>UP</v>
      </c>
      <c r="AA232">
        <v>0</v>
      </c>
      <c r="AB232">
        <v>0</v>
      </c>
      <c r="AC232">
        <v>0</v>
      </c>
      <c r="AD232">
        <v>0</v>
      </c>
    </row>
    <row r="233" spans="1:30" hidden="1" x14ac:dyDescent="0.35">
      <c r="A233" s="2">
        <v>45889</v>
      </c>
      <c r="B233" t="s">
        <v>38</v>
      </c>
      <c r="C233">
        <v>1.17394995689392</v>
      </c>
      <c r="D233">
        <v>1.1756000518798799</v>
      </c>
      <c r="E233">
        <v>1.17390000820159</v>
      </c>
      <c r="F233">
        <v>1.1756000518798799</v>
      </c>
      <c r="G233">
        <v>30</v>
      </c>
      <c r="H233">
        <v>1.17438998222351</v>
      </c>
      <c r="I233" s="1">
        <v>-8.0013275146617602E-5</v>
      </c>
      <c r="J233" t="str">
        <f t="shared" si="27"/>
        <v>DOWN</v>
      </c>
      <c r="K233">
        <v>1.1742840027809101</v>
      </c>
      <c r="L233" s="1">
        <v>-4.5001506805419902E-5</v>
      </c>
      <c r="M233" t="str">
        <f t="shared" si="28"/>
        <v>DOWN</v>
      </c>
      <c r="N233">
        <v>1.05979442596382E-4</v>
      </c>
      <c r="O233" t="str">
        <f t="shared" si="29"/>
        <v>UP</v>
      </c>
      <c r="P233">
        <v>50.2815453330997</v>
      </c>
      <c r="Q233">
        <v>-7.2363439914062404</v>
      </c>
      <c r="R233" t="str">
        <f t="shared" si="30"/>
        <v>DOWN</v>
      </c>
      <c r="S233">
        <v>1.1744999885559</v>
      </c>
      <c r="T233" t="str">
        <f t="shared" si="24"/>
        <v>DOWN</v>
      </c>
      <c r="U233">
        <v>1.17340004444122</v>
      </c>
      <c r="V233" t="str">
        <f t="shared" si="31"/>
        <v>UP</v>
      </c>
      <c r="W233">
        <v>1.1756500005721999</v>
      </c>
      <c r="X233" t="str">
        <f t="shared" si="25"/>
        <v>DOWN</v>
      </c>
      <c r="Y233">
        <v>1.17439997196197</v>
      </c>
      <c r="Z233" t="str">
        <f t="shared" si="26"/>
        <v>UP</v>
      </c>
      <c r="AA233">
        <v>0</v>
      </c>
      <c r="AB233">
        <v>0</v>
      </c>
      <c r="AC233">
        <v>0</v>
      </c>
      <c r="AD233">
        <v>0</v>
      </c>
    </row>
    <row r="234" spans="1:30" hidden="1" x14ac:dyDescent="0.35">
      <c r="A234" s="2">
        <v>45889</v>
      </c>
      <c r="B234" t="s">
        <v>28</v>
      </c>
      <c r="C234">
        <v>1.17369997501373</v>
      </c>
      <c r="D234">
        <v>1.17420005798339</v>
      </c>
      <c r="E234">
        <v>1.17369997501373</v>
      </c>
      <c r="F234">
        <v>1.17390000820159</v>
      </c>
      <c r="G234">
        <v>8</v>
      </c>
      <c r="H234">
        <v>1.174129986763</v>
      </c>
      <c r="I234">
        <v>-2.5999546051025298E-4</v>
      </c>
      <c r="J234" t="str">
        <f t="shared" si="27"/>
        <v>DOWN</v>
      </c>
      <c r="K234">
        <v>1.1742420029640099</v>
      </c>
      <c r="L234" s="1">
        <v>-4.1999816894566703E-5</v>
      </c>
      <c r="M234" t="str">
        <f t="shared" si="28"/>
        <v>DOWN</v>
      </c>
      <c r="N234">
        <v>-1.1201620101930401E-4</v>
      </c>
      <c r="O234" t="str">
        <f t="shared" si="29"/>
        <v>DOWN</v>
      </c>
      <c r="P234">
        <v>49.299366134366103</v>
      </c>
      <c r="Q234">
        <v>-0.98217919873356796</v>
      </c>
      <c r="R234" t="str">
        <f t="shared" si="30"/>
        <v>DOWN</v>
      </c>
      <c r="S234">
        <v>1.17390000820159</v>
      </c>
      <c r="T234" t="str">
        <f t="shared" si="24"/>
        <v>DOWN</v>
      </c>
      <c r="U234">
        <v>1.1744999885559</v>
      </c>
      <c r="V234" t="str">
        <f t="shared" si="31"/>
        <v>DOWN</v>
      </c>
      <c r="W234">
        <v>1.1756000518798799</v>
      </c>
      <c r="X234" t="str">
        <f t="shared" si="25"/>
        <v>DOWN</v>
      </c>
      <c r="Y234">
        <v>1.1756500005721999</v>
      </c>
      <c r="Z234" t="str">
        <f t="shared" si="26"/>
        <v>DOWN</v>
      </c>
      <c r="AA234">
        <v>0</v>
      </c>
      <c r="AB234">
        <v>0</v>
      </c>
      <c r="AC234">
        <v>0</v>
      </c>
      <c r="AD234">
        <v>0</v>
      </c>
    </row>
    <row r="235" spans="1:30" hidden="1" x14ac:dyDescent="0.35">
      <c r="A235" s="2">
        <v>45889</v>
      </c>
      <c r="B235" t="s">
        <v>39</v>
      </c>
      <c r="C235">
        <v>1.17344999313354</v>
      </c>
      <c r="D235">
        <v>1.17365002632141</v>
      </c>
      <c r="E235">
        <v>1.1732499599456701</v>
      </c>
      <c r="F235">
        <v>1.17365002632141</v>
      </c>
      <c r="G235">
        <v>0</v>
      </c>
      <c r="H235">
        <v>1.1741999864578201</v>
      </c>
      <c r="I235" s="1">
        <v>6.9999694824351895E-5</v>
      </c>
      <c r="J235" t="str">
        <f t="shared" si="27"/>
        <v>UP</v>
      </c>
      <c r="K235">
        <v>1.1741850018501201</v>
      </c>
      <c r="L235" s="1">
        <v>-5.7001113891619299E-5</v>
      </c>
      <c r="M235" t="str">
        <f t="shared" si="28"/>
        <v>DOWN</v>
      </c>
      <c r="N235" s="1">
        <v>1.4984607696666399E-5</v>
      </c>
      <c r="O235" t="str">
        <f t="shared" si="29"/>
        <v>UP</v>
      </c>
      <c r="P235">
        <v>48.283662504684401</v>
      </c>
      <c r="Q235">
        <v>-1.0157036296816599</v>
      </c>
      <c r="R235" t="str">
        <f t="shared" si="30"/>
        <v>DOWN</v>
      </c>
      <c r="S235">
        <v>1.17369997501373</v>
      </c>
      <c r="T235" t="str">
        <f t="shared" si="24"/>
        <v>DOWN</v>
      </c>
      <c r="U235">
        <v>1.17390000820159</v>
      </c>
      <c r="V235" t="str">
        <f t="shared" si="31"/>
        <v>DOWN</v>
      </c>
      <c r="W235">
        <v>1.17420005798339</v>
      </c>
      <c r="X235" t="str">
        <f t="shared" si="25"/>
        <v>DOWN</v>
      </c>
      <c r="Y235">
        <v>1.1756000518798799</v>
      </c>
      <c r="Z235" t="str">
        <f t="shared" si="26"/>
        <v>DOWN</v>
      </c>
      <c r="AA235">
        <v>0</v>
      </c>
      <c r="AB235">
        <v>0</v>
      </c>
      <c r="AC235">
        <v>0</v>
      </c>
      <c r="AD235">
        <v>0</v>
      </c>
    </row>
    <row r="236" spans="1:30" hidden="1" x14ac:dyDescent="0.35">
      <c r="A236" s="2">
        <v>45889</v>
      </c>
      <c r="B236" t="s">
        <v>40</v>
      </c>
      <c r="C236">
        <v>1.17340004444122</v>
      </c>
      <c r="D236">
        <v>1.17340004444122</v>
      </c>
      <c r="E236">
        <v>1.17340004444122</v>
      </c>
      <c r="F236">
        <v>1.17340004444122</v>
      </c>
      <c r="G236">
        <v>2</v>
      </c>
      <c r="H236">
        <v>1.17402999401092</v>
      </c>
      <c r="I236">
        <v>-1.6999244689941401E-4</v>
      </c>
      <c r="J236" t="str">
        <f t="shared" si="27"/>
        <v>DOWN</v>
      </c>
      <c r="K236">
        <v>1.17415300369262</v>
      </c>
      <c r="L236" s="1">
        <v>-3.1998157501211801E-5</v>
      </c>
      <c r="M236" t="str">
        <f t="shared" si="28"/>
        <v>DOWN</v>
      </c>
      <c r="N236">
        <v>-1.23009681701535E-4</v>
      </c>
      <c r="O236" t="str">
        <f t="shared" si="29"/>
        <v>DOWN</v>
      </c>
      <c r="P236">
        <v>48.070551903968003</v>
      </c>
      <c r="Q236">
        <v>-0.21311060071641899</v>
      </c>
      <c r="R236" t="str">
        <f t="shared" si="30"/>
        <v>DOWN</v>
      </c>
      <c r="S236">
        <v>1.1732499599456701</v>
      </c>
      <c r="T236" t="str">
        <f t="shared" si="24"/>
        <v>UP</v>
      </c>
      <c r="U236">
        <v>1.17369997501373</v>
      </c>
      <c r="V236" t="str">
        <f t="shared" si="31"/>
        <v>DOWN</v>
      </c>
      <c r="W236">
        <v>1.17365002632141</v>
      </c>
      <c r="X236" t="str">
        <f t="shared" si="25"/>
        <v>DOWN</v>
      </c>
      <c r="Y236">
        <v>1.17420005798339</v>
      </c>
      <c r="Z236" t="str">
        <f t="shared" si="26"/>
        <v>DOWN</v>
      </c>
      <c r="AA236">
        <v>0</v>
      </c>
      <c r="AB236">
        <v>0</v>
      </c>
      <c r="AC236">
        <v>0</v>
      </c>
      <c r="AD236">
        <v>0</v>
      </c>
    </row>
    <row r="237" spans="1:30" hidden="1" x14ac:dyDescent="0.35">
      <c r="A237" s="2">
        <v>45890</v>
      </c>
      <c r="B237" t="s">
        <v>29</v>
      </c>
      <c r="C237">
        <v>1.1723999977111801</v>
      </c>
      <c r="D237">
        <v>1.1725000143051101</v>
      </c>
      <c r="E237">
        <v>1.1723999977111801</v>
      </c>
      <c r="F237">
        <v>1.1725000143051101</v>
      </c>
      <c r="G237">
        <v>21</v>
      </c>
      <c r="H237">
        <v>1.1733799934387199</v>
      </c>
      <c r="I237">
        <v>-6.50000572204545E-4</v>
      </c>
      <c r="J237" t="str">
        <f t="shared" si="27"/>
        <v>DOWN</v>
      </c>
      <c r="K237">
        <v>1.17409400463104</v>
      </c>
      <c r="L237" s="1">
        <v>-5.89990615844637E-5</v>
      </c>
      <c r="M237" t="str">
        <f t="shared" si="28"/>
        <v>DOWN</v>
      </c>
      <c r="N237">
        <v>-7.1401119232161704E-4</v>
      </c>
      <c r="O237" t="str">
        <f t="shared" si="29"/>
        <v>DOWN</v>
      </c>
      <c r="P237">
        <v>43.893359105445199</v>
      </c>
      <c r="Q237">
        <v>-4.1771927985228396</v>
      </c>
      <c r="R237" t="str">
        <f t="shared" si="30"/>
        <v>DOWN</v>
      </c>
      <c r="S237">
        <v>1.17340004444122</v>
      </c>
      <c r="T237" t="str">
        <f t="shared" si="24"/>
        <v>DOWN</v>
      </c>
      <c r="U237">
        <v>1.1732499599456701</v>
      </c>
      <c r="V237" t="str">
        <f t="shared" si="31"/>
        <v>DOWN</v>
      </c>
      <c r="W237">
        <v>1.17340004444122</v>
      </c>
      <c r="X237" t="str">
        <f t="shared" si="25"/>
        <v>DOWN</v>
      </c>
      <c r="Y237">
        <v>1.17365002632141</v>
      </c>
      <c r="Z237" t="str">
        <f t="shared" si="26"/>
        <v>DOWN</v>
      </c>
      <c r="AA237">
        <v>0</v>
      </c>
      <c r="AB237">
        <v>0</v>
      </c>
      <c r="AC237">
        <v>0</v>
      </c>
      <c r="AD237">
        <v>0</v>
      </c>
    </row>
    <row r="238" spans="1:30" hidden="1" x14ac:dyDescent="0.35">
      <c r="A238" s="2">
        <v>45890</v>
      </c>
      <c r="B238" t="s">
        <v>30</v>
      </c>
      <c r="C238">
        <v>1.1723500490188501</v>
      </c>
      <c r="D238">
        <v>1.1726499795913601</v>
      </c>
      <c r="E238">
        <v>1.1723500490188501</v>
      </c>
      <c r="F238">
        <v>1.1726499795913601</v>
      </c>
      <c r="G238">
        <v>5</v>
      </c>
      <c r="H238">
        <v>1.1730600118637</v>
      </c>
      <c r="I238">
        <v>-3.1998157501233999E-4</v>
      </c>
      <c r="J238" t="str">
        <f t="shared" si="27"/>
        <v>DOWN</v>
      </c>
      <c r="K238">
        <v>1.1740400052070601</v>
      </c>
      <c r="L238" s="1">
        <v>-5.3999423980544103E-5</v>
      </c>
      <c r="M238" t="str">
        <f t="shared" si="28"/>
        <v>DOWN</v>
      </c>
      <c r="N238">
        <v>-9.7999334335341294E-4</v>
      </c>
      <c r="O238" t="str">
        <f t="shared" si="29"/>
        <v>DOWN</v>
      </c>
      <c r="P238">
        <v>43.6891535491349</v>
      </c>
      <c r="Q238">
        <v>-0.20420555631023499</v>
      </c>
      <c r="R238" t="str">
        <f t="shared" si="30"/>
        <v>DOWN</v>
      </c>
      <c r="S238">
        <v>1.1723999977111801</v>
      </c>
      <c r="T238" t="str">
        <f t="shared" si="24"/>
        <v>DOWN</v>
      </c>
      <c r="U238">
        <v>1.17340004444122</v>
      </c>
      <c r="V238" t="str">
        <f t="shared" si="31"/>
        <v>DOWN</v>
      </c>
      <c r="W238">
        <v>1.1725000143051101</v>
      </c>
      <c r="X238" t="str">
        <f t="shared" si="25"/>
        <v>UP</v>
      </c>
      <c r="Y238">
        <v>1.17340004444122</v>
      </c>
      <c r="Z238" t="str">
        <f t="shared" si="26"/>
        <v>DOWN</v>
      </c>
      <c r="AA238">
        <v>0</v>
      </c>
      <c r="AB238">
        <v>0</v>
      </c>
      <c r="AC238">
        <v>0</v>
      </c>
      <c r="AD238">
        <v>0</v>
      </c>
    </row>
    <row r="239" spans="1:30" hidden="1" x14ac:dyDescent="0.35">
      <c r="A239" s="2">
        <v>45890</v>
      </c>
      <c r="B239" t="s">
        <v>31</v>
      </c>
      <c r="C239">
        <v>1.1725499629974301</v>
      </c>
      <c r="D239">
        <v>1.1726499795913601</v>
      </c>
      <c r="E239">
        <v>1.1725499629974301</v>
      </c>
      <c r="F239">
        <v>1.1726499795913601</v>
      </c>
      <c r="G239">
        <v>6</v>
      </c>
      <c r="H239">
        <v>1.17283000946044</v>
      </c>
      <c r="I239">
        <v>-2.3000240325932099E-4</v>
      </c>
      <c r="J239" t="str">
        <f t="shared" si="27"/>
        <v>DOWN</v>
      </c>
      <c r="K239">
        <v>1.1739890050888</v>
      </c>
      <c r="L239" s="1">
        <v>-5.1000118255650701E-5</v>
      </c>
      <c r="M239" t="str">
        <f t="shared" si="28"/>
        <v>DOWN</v>
      </c>
      <c r="N239">
        <v>-1.15899562835708E-3</v>
      </c>
      <c r="O239" t="str">
        <f t="shared" si="29"/>
        <v>DOWN</v>
      </c>
      <c r="P239">
        <v>44.7961390009296</v>
      </c>
      <c r="Q239">
        <v>1.10698545179467</v>
      </c>
      <c r="R239" t="str">
        <f t="shared" si="30"/>
        <v>UP</v>
      </c>
      <c r="S239">
        <v>1.1723500490188501</v>
      </c>
      <c r="T239" t="str">
        <f t="shared" si="24"/>
        <v>UP</v>
      </c>
      <c r="U239">
        <v>1.1723999977111801</v>
      </c>
      <c r="V239" t="str">
        <f t="shared" si="31"/>
        <v>UP</v>
      </c>
      <c r="W239">
        <v>1.1726499795913601</v>
      </c>
      <c r="X239" t="str">
        <f t="shared" si="25"/>
        <v>DOWN</v>
      </c>
      <c r="Y239">
        <v>1.1725000143051101</v>
      </c>
      <c r="Z239" t="str">
        <f t="shared" si="26"/>
        <v>UP</v>
      </c>
      <c r="AA239">
        <v>0</v>
      </c>
      <c r="AB239">
        <v>0</v>
      </c>
      <c r="AC239">
        <v>0</v>
      </c>
      <c r="AD239">
        <v>0</v>
      </c>
    </row>
    <row r="240" spans="1:30" hidden="1" x14ac:dyDescent="0.35">
      <c r="A240" s="2">
        <v>45890</v>
      </c>
      <c r="B240" t="s">
        <v>34</v>
      </c>
      <c r="C240">
        <v>1.1712499856948799</v>
      </c>
      <c r="D240">
        <v>1.1729999780654901</v>
      </c>
      <c r="E240">
        <v>1.1712499856948799</v>
      </c>
      <c r="F240">
        <v>1.1729999780654901</v>
      </c>
      <c r="G240">
        <v>68</v>
      </c>
      <c r="H240">
        <v>1.1723900079727101</v>
      </c>
      <c r="I240">
        <v>-4.40001487731933E-4</v>
      </c>
      <c r="J240" t="str">
        <f t="shared" si="27"/>
        <v>DOWN</v>
      </c>
      <c r="K240">
        <v>1.17392100572586</v>
      </c>
      <c r="L240" s="1">
        <v>-6.7999362945547705E-5</v>
      </c>
      <c r="M240" t="str">
        <f t="shared" si="28"/>
        <v>DOWN</v>
      </c>
      <c r="N240">
        <v>-1.53099775314347E-3</v>
      </c>
      <c r="O240" t="str">
        <f t="shared" si="29"/>
        <v>DOWN</v>
      </c>
      <c r="P240">
        <v>39.375469888964901</v>
      </c>
      <c r="Q240">
        <v>-5.4206691119646697</v>
      </c>
      <c r="R240" t="str">
        <f t="shared" si="30"/>
        <v>DOWN</v>
      </c>
      <c r="S240">
        <v>1.1725499629974301</v>
      </c>
      <c r="T240" t="str">
        <f t="shared" si="24"/>
        <v>DOWN</v>
      </c>
      <c r="U240">
        <v>1.1723500490188501</v>
      </c>
      <c r="V240" t="str">
        <f t="shared" si="31"/>
        <v>DOWN</v>
      </c>
      <c r="W240">
        <v>1.1726499795913601</v>
      </c>
      <c r="X240" t="str">
        <f t="shared" si="25"/>
        <v>UP</v>
      </c>
      <c r="Y240">
        <v>1.1726499795913601</v>
      </c>
      <c r="Z240" t="str">
        <f t="shared" si="26"/>
        <v>UP</v>
      </c>
      <c r="AA240">
        <v>0</v>
      </c>
      <c r="AB240">
        <v>0</v>
      </c>
      <c r="AC240">
        <v>0</v>
      </c>
      <c r="AD240">
        <v>0</v>
      </c>
    </row>
    <row r="241" spans="1:30" hidden="1" x14ac:dyDescent="0.35">
      <c r="A241" s="2">
        <v>45890</v>
      </c>
      <c r="B241" t="s">
        <v>35</v>
      </c>
      <c r="C241">
        <v>1.17435002326965</v>
      </c>
      <c r="D241">
        <v>1.17435002326965</v>
      </c>
      <c r="E241">
        <v>1.1708999872207599</v>
      </c>
      <c r="F241">
        <v>1.1708999872207599</v>
      </c>
      <c r="G241">
        <v>30</v>
      </c>
      <c r="H241">
        <v>1.1725800037384</v>
      </c>
      <c r="I241">
        <v>1.89995765686123E-4</v>
      </c>
      <c r="J241" t="str">
        <f t="shared" si="27"/>
        <v>UP</v>
      </c>
      <c r="K241">
        <v>1.1739110064506499</v>
      </c>
      <c r="L241" s="1">
        <v>-9.9992752076172292E-6</v>
      </c>
      <c r="M241" t="str">
        <f t="shared" si="28"/>
        <v>DOWN</v>
      </c>
      <c r="N241">
        <v>-1.3310027122497201E-3</v>
      </c>
      <c r="O241" t="str">
        <f t="shared" si="29"/>
        <v>DOWN</v>
      </c>
      <c r="P241">
        <v>53.748643226400297</v>
      </c>
      <c r="Q241">
        <v>14.373173337435301</v>
      </c>
      <c r="R241" t="str">
        <f t="shared" si="30"/>
        <v>UP</v>
      </c>
      <c r="S241">
        <v>1.1712499856948799</v>
      </c>
      <c r="T241" t="str">
        <f t="shared" si="24"/>
        <v>DOWN</v>
      </c>
      <c r="U241">
        <v>1.1725499629974301</v>
      </c>
      <c r="V241" t="str">
        <f t="shared" si="31"/>
        <v>DOWN</v>
      </c>
      <c r="W241">
        <v>1.1729999780654901</v>
      </c>
      <c r="X241" t="str">
        <f t="shared" si="25"/>
        <v>UP</v>
      </c>
      <c r="Y241">
        <v>1.1726499795913601</v>
      </c>
      <c r="Z241" t="str">
        <f t="shared" si="26"/>
        <v>UP</v>
      </c>
      <c r="AA241">
        <v>0</v>
      </c>
      <c r="AB241">
        <v>0</v>
      </c>
      <c r="AC241">
        <v>0</v>
      </c>
      <c r="AD241">
        <v>0</v>
      </c>
    </row>
    <row r="242" spans="1:30" hidden="1" x14ac:dyDescent="0.35">
      <c r="A242" s="2">
        <v>45890</v>
      </c>
      <c r="B242" t="s">
        <v>36</v>
      </c>
      <c r="C242">
        <v>1.17375004291534</v>
      </c>
      <c r="D242">
        <v>1.17400002479553</v>
      </c>
      <c r="E242">
        <v>1.17334997653961</v>
      </c>
      <c r="F242">
        <v>1.17379999160766</v>
      </c>
      <c r="G242">
        <v>21</v>
      </c>
      <c r="H242">
        <v>1.1728500127792301</v>
      </c>
      <c r="I242">
        <v>2.7000904083251899E-4</v>
      </c>
      <c r="J242" t="str">
        <f t="shared" si="27"/>
        <v>UP</v>
      </c>
      <c r="K242">
        <v>1.17388700723648</v>
      </c>
      <c r="L242" s="1">
        <v>-2.3999214172398802E-5</v>
      </c>
      <c r="M242" t="str">
        <f t="shared" si="28"/>
        <v>DOWN</v>
      </c>
      <c r="N242">
        <v>-1.03699445724481E-3</v>
      </c>
      <c r="O242" t="str">
        <f t="shared" si="29"/>
        <v>DOWN</v>
      </c>
      <c r="P242">
        <v>51.2177183146839</v>
      </c>
      <c r="Q242">
        <v>-2.5309249117163399</v>
      </c>
      <c r="R242" t="str">
        <f t="shared" si="30"/>
        <v>DOWN</v>
      </c>
      <c r="S242">
        <v>1.1708999872207599</v>
      </c>
      <c r="T242" t="str">
        <f t="shared" si="24"/>
        <v>UP</v>
      </c>
      <c r="U242">
        <v>1.1712499856948799</v>
      </c>
      <c r="V242" t="str">
        <f t="shared" si="31"/>
        <v>UP</v>
      </c>
      <c r="W242">
        <v>1.17435002326965</v>
      </c>
      <c r="X242" t="str">
        <f t="shared" si="25"/>
        <v>DOWN</v>
      </c>
      <c r="Y242">
        <v>1.1729999780654901</v>
      </c>
      <c r="Z242" t="str">
        <f t="shared" si="26"/>
        <v>UP</v>
      </c>
      <c r="AA242">
        <v>0</v>
      </c>
      <c r="AB242">
        <v>0</v>
      </c>
      <c r="AC242">
        <v>0</v>
      </c>
      <c r="AD242">
        <v>0</v>
      </c>
    </row>
    <row r="243" spans="1:30" hidden="1" x14ac:dyDescent="0.35">
      <c r="A243" s="2">
        <v>45890</v>
      </c>
      <c r="B243" t="s">
        <v>37</v>
      </c>
      <c r="C243">
        <v>1.17404997348785</v>
      </c>
      <c r="D243">
        <v>1.17439997196197</v>
      </c>
      <c r="E243">
        <v>1.17375004291534</v>
      </c>
      <c r="F243">
        <v>1.17375004291534</v>
      </c>
      <c r="G243">
        <v>23</v>
      </c>
      <c r="H243">
        <v>1.17318999767303</v>
      </c>
      <c r="I243">
        <v>3.3998489379882802E-4</v>
      </c>
      <c r="J243" t="str">
        <f t="shared" si="27"/>
        <v>UP</v>
      </c>
      <c r="K243">
        <v>1.17385300636291</v>
      </c>
      <c r="L243" s="1">
        <v>-3.4000873565531699E-5</v>
      </c>
      <c r="M243" t="str">
        <f t="shared" si="28"/>
        <v>DOWN</v>
      </c>
      <c r="N243">
        <v>-6.6300868988045103E-4</v>
      </c>
      <c r="O243" t="str">
        <f t="shared" si="29"/>
        <v>DOWN</v>
      </c>
      <c r="P243">
        <v>52.423781509573402</v>
      </c>
      <c r="Q243">
        <v>1.20606319488945</v>
      </c>
      <c r="R243" t="str">
        <f t="shared" si="30"/>
        <v>UP</v>
      </c>
      <c r="S243">
        <v>1.17334997653961</v>
      </c>
      <c r="T243" t="str">
        <f t="shared" si="24"/>
        <v>UP</v>
      </c>
      <c r="U243">
        <v>1.1708999872207599</v>
      </c>
      <c r="V243" t="str">
        <f t="shared" si="31"/>
        <v>UP</v>
      </c>
      <c r="W243">
        <v>1.17400002479553</v>
      </c>
      <c r="X243" t="str">
        <f t="shared" si="25"/>
        <v>UP</v>
      </c>
      <c r="Y243">
        <v>1.17435002326965</v>
      </c>
      <c r="Z243" t="str">
        <f t="shared" si="26"/>
        <v>UP</v>
      </c>
      <c r="AA243">
        <v>1</v>
      </c>
      <c r="AB243">
        <v>0</v>
      </c>
      <c r="AC243">
        <v>0</v>
      </c>
      <c r="AD243">
        <v>0</v>
      </c>
    </row>
    <row r="244" spans="1:30" hidden="1" x14ac:dyDescent="0.35">
      <c r="A244" s="2">
        <v>45890</v>
      </c>
      <c r="B244" t="s">
        <v>20</v>
      </c>
      <c r="C244">
        <v>1.17334997653961</v>
      </c>
      <c r="D244">
        <v>1.17334997653961</v>
      </c>
      <c r="E244">
        <v>1.17334997653961</v>
      </c>
      <c r="F244">
        <v>1.17334997653961</v>
      </c>
      <c r="G244">
        <v>1</v>
      </c>
      <c r="H244">
        <v>1.1733500003814601</v>
      </c>
      <c r="I244">
        <v>1.6000270843496899E-4</v>
      </c>
      <c r="J244" t="str">
        <f t="shared" si="27"/>
        <v>UP</v>
      </c>
      <c r="K244">
        <v>1.1738230061531001</v>
      </c>
      <c r="L244" s="1">
        <v>-3.0000209808367298E-5</v>
      </c>
      <c r="M244" t="str">
        <f t="shared" si="28"/>
        <v>DOWN</v>
      </c>
      <c r="N244">
        <v>-4.7300577163711301E-4</v>
      </c>
      <c r="O244" t="str">
        <f t="shared" si="29"/>
        <v>DOWN</v>
      </c>
      <c r="P244">
        <v>49.356774165990799</v>
      </c>
      <c r="Q244">
        <v>-3.0670073435826302</v>
      </c>
      <c r="R244" t="str">
        <f t="shared" si="30"/>
        <v>DOWN</v>
      </c>
      <c r="S244">
        <v>1.17375004291534</v>
      </c>
      <c r="T244" t="str">
        <f t="shared" si="24"/>
        <v>DOWN</v>
      </c>
      <c r="U244">
        <v>1.17334997653961</v>
      </c>
      <c r="V244" t="str">
        <f t="shared" si="31"/>
        <v>UP</v>
      </c>
      <c r="W244">
        <v>1.17439997196197</v>
      </c>
      <c r="X244" t="str">
        <f t="shared" si="25"/>
        <v>DOWN</v>
      </c>
      <c r="Y244">
        <v>1.17400002479553</v>
      </c>
      <c r="Z244" t="str">
        <f t="shared" si="26"/>
        <v>DOWN</v>
      </c>
      <c r="AA244">
        <v>0</v>
      </c>
      <c r="AB244">
        <v>0</v>
      </c>
      <c r="AC244">
        <v>0</v>
      </c>
      <c r="AD244">
        <v>0</v>
      </c>
    </row>
    <row r="245" spans="1:30" hidden="1" x14ac:dyDescent="0.35">
      <c r="A245" s="2">
        <v>45890</v>
      </c>
      <c r="B245" t="s">
        <v>21</v>
      </c>
      <c r="C245">
        <v>1.1722500324249201</v>
      </c>
      <c r="D245">
        <v>1.17365002632141</v>
      </c>
      <c r="E245">
        <v>1.1722500324249201</v>
      </c>
      <c r="F245">
        <v>1.17359995841979</v>
      </c>
      <c r="G245">
        <v>46</v>
      </c>
      <c r="H245">
        <v>1.17355000972747</v>
      </c>
      <c r="I245">
        <v>2.00009346008389E-4</v>
      </c>
      <c r="J245" t="str">
        <f t="shared" si="27"/>
        <v>UP</v>
      </c>
      <c r="K245">
        <v>1.1737800073623601</v>
      </c>
      <c r="L245" s="1">
        <v>-4.2998790741100003E-5</v>
      </c>
      <c r="M245" t="str">
        <f t="shared" si="28"/>
        <v>DOWN</v>
      </c>
      <c r="N245">
        <v>-2.2999763488762399E-4</v>
      </c>
      <c r="O245" t="str">
        <f t="shared" si="29"/>
        <v>DOWN</v>
      </c>
      <c r="P245">
        <v>44.910525342453099</v>
      </c>
      <c r="Q245">
        <v>-4.4462488235376503</v>
      </c>
      <c r="R245" t="str">
        <f t="shared" si="30"/>
        <v>DOWN</v>
      </c>
      <c r="S245">
        <v>1.17334997653961</v>
      </c>
      <c r="T245" t="str">
        <f t="shared" si="24"/>
        <v>DOWN</v>
      </c>
      <c r="U245">
        <v>1.17375004291534</v>
      </c>
      <c r="V245" t="str">
        <f t="shared" si="31"/>
        <v>DOWN</v>
      </c>
      <c r="W245">
        <v>1.17334997653961</v>
      </c>
      <c r="X245" t="str">
        <f t="shared" si="25"/>
        <v>UP</v>
      </c>
      <c r="Y245">
        <v>1.17439997196197</v>
      </c>
      <c r="Z245" t="str">
        <f t="shared" si="26"/>
        <v>DOWN</v>
      </c>
      <c r="AA245">
        <v>0</v>
      </c>
      <c r="AB245">
        <v>0</v>
      </c>
      <c r="AC245">
        <v>0</v>
      </c>
      <c r="AD245">
        <v>0</v>
      </c>
    </row>
    <row r="246" spans="1:30" hidden="1" x14ac:dyDescent="0.35">
      <c r="A246" s="2">
        <v>45890</v>
      </c>
      <c r="B246" t="s">
        <v>22</v>
      </c>
      <c r="C246">
        <v>1.17355000972747</v>
      </c>
      <c r="D246">
        <v>1.17369997501373</v>
      </c>
      <c r="E246">
        <v>1.1719000339507999</v>
      </c>
      <c r="F246">
        <v>1.1720499992370601</v>
      </c>
      <c r="G246">
        <v>154</v>
      </c>
      <c r="H246">
        <v>1.1733900070190399</v>
      </c>
      <c r="I246">
        <v>-1.6000270843496899E-4</v>
      </c>
      <c r="J246" t="str">
        <f t="shared" si="27"/>
        <v>DOWN</v>
      </c>
      <c r="K246">
        <v>1.1737740063667199</v>
      </c>
      <c r="L246" s="1">
        <v>-6.0009956359685603E-6</v>
      </c>
      <c r="M246" t="str">
        <f t="shared" si="28"/>
        <v>DOWN</v>
      </c>
      <c r="N246">
        <v>-3.8399934768662498E-4</v>
      </c>
      <c r="O246" t="str">
        <f t="shared" si="29"/>
        <v>DOWN</v>
      </c>
      <c r="P246">
        <v>50.577151954727803</v>
      </c>
      <c r="Q246">
        <v>5.6666266122746398</v>
      </c>
      <c r="R246" t="str">
        <f t="shared" si="30"/>
        <v>UP</v>
      </c>
      <c r="S246">
        <v>1.1722500324249201</v>
      </c>
      <c r="T246" t="str">
        <f t="shared" si="24"/>
        <v>DOWN</v>
      </c>
      <c r="U246">
        <v>1.17334997653961</v>
      </c>
      <c r="V246" t="str">
        <f t="shared" si="31"/>
        <v>DOWN</v>
      </c>
      <c r="W246">
        <v>1.17365002632141</v>
      </c>
      <c r="X246" t="str">
        <f t="shared" si="25"/>
        <v>UP</v>
      </c>
      <c r="Y246">
        <v>1.17334997653961</v>
      </c>
      <c r="Z246" t="str">
        <f t="shared" si="26"/>
        <v>UP</v>
      </c>
      <c r="AA246">
        <v>0</v>
      </c>
      <c r="AB246">
        <v>0</v>
      </c>
      <c r="AC246">
        <v>0</v>
      </c>
      <c r="AD246">
        <v>0</v>
      </c>
    </row>
    <row r="247" spans="1:30" hidden="1" x14ac:dyDescent="0.35">
      <c r="A247" s="2">
        <v>45890</v>
      </c>
      <c r="B247" t="s">
        <v>23</v>
      </c>
      <c r="C247">
        <v>1.16999995708465</v>
      </c>
      <c r="D247">
        <v>1.1732499599456701</v>
      </c>
      <c r="E247">
        <v>1.16999995708465</v>
      </c>
      <c r="F247">
        <v>1.1732000112533501</v>
      </c>
      <c r="G247">
        <v>409</v>
      </c>
      <c r="H247">
        <v>1.1726399898529001</v>
      </c>
      <c r="I247">
        <v>-7.5001716613787295E-4</v>
      </c>
      <c r="J247" t="str">
        <f t="shared" si="27"/>
        <v>DOWN</v>
      </c>
      <c r="K247">
        <v>1.17370100498199</v>
      </c>
      <c r="L247" s="1">
        <v>-7.3001384734982996E-5</v>
      </c>
      <c r="M247" t="str">
        <f t="shared" si="28"/>
        <v>DOWN</v>
      </c>
      <c r="N247">
        <v>-1.0610151290895099E-3</v>
      </c>
      <c r="O247" t="str">
        <f t="shared" si="29"/>
        <v>DOWN</v>
      </c>
      <c r="P247">
        <v>38.830530016380997</v>
      </c>
      <c r="Q247">
        <v>-11.746621938346699</v>
      </c>
      <c r="R247" t="str">
        <f t="shared" si="30"/>
        <v>DOWN</v>
      </c>
      <c r="S247">
        <v>1.1719000339507999</v>
      </c>
      <c r="T247" t="str">
        <f t="shared" si="24"/>
        <v>DOWN</v>
      </c>
      <c r="U247">
        <v>1.1722500324249201</v>
      </c>
      <c r="V247" t="str">
        <f t="shared" si="31"/>
        <v>DOWN</v>
      </c>
      <c r="W247">
        <v>1.17369997501373</v>
      </c>
      <c r="X247" t="str">
        <f t="shared" si="25"/>
        <v>DOWN</v>
      </c>
      <c r="Y247">
        <v>1.17365002632141</v>
      </c>
      <c r="Z247" t="str">
        <f t="shared" si="26"/>
        <v>DOWN</v>
      </c>
      <c r="AA247">
        <v>0</v>
      </c>
      <c r="AB247">
        <v>0</v>
      </c>
      <c r="AC247">
        <v>0</v>
      </c>
      <c r="AD247">
        <v>0</v>
      </c>
    </row>
    <row r="248" spans="1:30" hidden="1" x14ac:dyDescent="0.35">
      <c r="A248" s="2">
        <v>45890</v>
      </c>
      <c r="B248" t="s">
        <v>24</v>
      </c>
      <c r="C248">
        <v>1.16960000991821</v>
      </c>
      <c r="D248">
        <v>1.1710000038146899</v>
      </c>
      <c r="E248">
        <v>1.16890001296997</v>
      </c>
      <c r="F248">
        <v>1.17005002498626</v>
      </c>
      <c r="G248">
        <v>83</v>
      </c>
      <c r="H248">
        <v>1.17174999713897</v>
      </c>
      <c r="I248">
        <v>-8.89992713928089E-4</v>
      </c>
      <c r="J248" t="str">
        <f t="shared" si="27"/>
        <v>DOWN</v>
      </c>
      <c r="K248">
        <v>1.17361300468444</v>
      </c>
      <c r="L248" s="1">
        <v>-8.8000297546519905E-5</v>
      </c>
      <c r="M248" t="str">
        <f t="shared" si="28"/>
        <v>DOWN</v>
      </c>
      <c r="N248">
        <v>-1.8630075454710801E-3</v>
      </c>
      <c r="O248" t="str">
        <f t="shared" si="29"/>
        <v>DOWN</v>
      </c>
      <c r="P248">
        <v>37.766347497720702</v>
      </c>
      <c r="Q248">
        <v>-1.0641825186603</v>
      </c>
      <c r="R248" t="str">
        <f t="shared" si="30"/>
        <v>DOWN</v>
      </c>
      <c r="S248">
        <v>1.16999995708465</v>
      </c>
      <c r="T248" t="str">
        <f t="shared" si="24"/>
        <v>DOWN</v>
      </c>
      <c r="U248">
        <v>1.1719000339507999</v>
      </c>
      <c r="V248" t="str">
        <f t="shared" si="31"/>
        <v>DOWN</v>
      </c>
      <c r="W248">
        <v>1.1732499599456701</v>
      </c>
      <c r="X248" t="str">
        <f t="shared" si="25"/>
        <v>DOWN</v>
      </c>
      <c r="Y248">
        <v>1.17369997501373</v>
      </c>
      <c r="Z248" t="str">
        <f t="shared" si="26"/>
        <v>DOWN</v>
      </c>
      <c r="AA248">
        <v>0</v>
      </c>
      <c r="AB248">
        <v>0</v>
      </c>
      <c r="AC248">
        <v>0</v>
      </c>
      <c r="AD248">
        <v>0</v>
      </c>
    </row>
    <row r="249" spans="1:30" hidden="1" x14ac:dyDescent="0.35">
      <c r="A249" s="2">
        <v>45890</v>
      </c>
      <c r="B249" t="s">
        <v>25</v>
      </c>
      <c r="C249">
        <v>1.16890001296997</v>
      </c>
      <c r="D249">
        <v>1.1707999706268299</v>
      </c>
      <c r="E249">
        <v>1.1684999465942301</v>
      </c>
      <c r="F249">
        <v>1.1698499917984</v>
      </c>
      <c r="G249">
        <v>578</v>
      </c>
      <c r="H249">
        <v>1.1708600044250399</v>
      </c>
      <c r="I249">
        <v>-8.8999271392831104E-4</v>
      </c>
      <c r="J249" t="str">
        <f t="shared" si="27"/>
        <v>DOWN</v>
      </c>
      <c r="K249">
        <v>1.17349500417709</v>
      </c>
      <c r="L249">
        <v>-1.18000507354665E-4</v>
      </c>
      <c r="M249" t="str">
        <f t="shared" si="28"/>
        <v>DOWN</v>
      </c>
      <c r="N249">
        <v>-2.6349997520447302E-3</v>
      </c>
      <c r="O249" t="str">
        <f t="shared" si="29"/>
        <v>DOWN</v>
      </c>
      <c r="P249">
        <v>35.911311775501296</v>
      </c>
      <c r="Q249">
        <v>-1.85503572221943</v>
      </c>
      <c r="R249" t="str">
        <f t="shared" si="30"/>
        <v>DOWN</v>
      </c>
      <c r="S249">
        <v>1.16890001296997</v>
      </c>
      <c r="T249" t="str">
        <f t="shared" si="24"/>
        <v>DOWN</v>
      </c>
      <c r="U249">
        <v>1.16999995708465</v>
      </c>
      <c r="V249" t="str">
        <f t="shared" si="31"/>
        <v>DOWN</v>
      </c>
      <c r="W249">
        <v>1.1710000038146899</v>
      </c>
      <c r="X249" t="str">
        <f t="shared" si="25"/>
        <v>DOWN</v>
      </c>
      <c r="Y249">
        <v>1.1732499599456701</v>
      </c>
      <c r="Z249" t="str">
        <f t="shared" si="26"/>
        <v>DOWN</v>
      </c>
      <c r="AA249">
        <v>0</v>
      </c>
      <c r="AB249">
        <v>0</v>
      </c>
      <c r="AC249">
        <v>0</v>
      </c>
      <c r="AD249">
        <v>0</v>
      </c>
    </row>
    <row r="250" spans="1:30" hidden="1" x14ac:dyDescent="0.35">
      <c r="A250" s="2">
        <v>45890</v>
      </c>
      <c r="B250" t="s">
        <v>26</v>
      </c>
      <c r="C250">
        <v>1.16919994354248</v>
      </c>
      <c r="D250">
        <v>1.16919994354248</v>
      </c>
      <c r="E250">
        <v>1.1684499979019101</v>
      </c>
      <c r="F250">
        <v>1.1686500310897801</v>
      </c>
      <c r="G250">
        <v>28</v>
      </c>
      <c r="H250">
        <v>1.1702499866485501</v>
      </c>
      <c r="I250">
        <v>-6.1001777648916899E-4</v>
      </c>
      <c r="J250" t="str">
        <f t="shared" si="27"/>
        <v>DOWN</v>
      </c>
      <c r="K250">
        <v>1.1733790040016101</v>
      </c>
      <c r="L250">
        <v>-1.1600017547608301E-4</v>
      </c>
      <c r="M250" t="str">
        <f t="shared" si="28"/>
        <v>DOWN</v>
      </c>
      <c r="N250">
        <v>-3.12901735305781E-3</v>
      </c>
      <c r="O250" t="str">
        <f t="shared" si="29"/>
        <v>DOWN</v>
      </c>
      <c r="P250">
        <v>37.331691736617103</v>
      </c>
      <c r="Q250">
        <v>1.4203799611158101</v>
      </c>
      <c r="R250" t="str">
        <f t="shared" si="30"/>
        <v>UP</v>
      </c>
      <c r="S250">
        <v>1.1684999465942301</v>
      </c>
      <c r="T250" t="str">
        <f t="shared" si="24"/>
        <v>DOWN</v>
      </c>
      <c r="U250">
        <v>1.16890001296997</v>
      </c>
      <c r="V250" t="str">
        <f t="shared" si="31"/>
        <v>DOWN</v>
      </c>
      <c r="W250">
        <v>1.1707999706268299</v>
      </c>
      <c r="X250" t="str">
        <f t="shared" si="25"/>
        <v>DOWN</v>
      </c>
      <c r="Y250">
        <v>1.1710000038146899</v>
      </c>
      <c r="Z250" t="str">
        <f t="shared" si="26"/>
        <v>DOWN</v>
      </c>
      <c r="AA250">
        <v>0</v>
      </c>
      <c r="AB250">
        <v>1</v>
      </c>
      <c r="AC250">
        <v>0</v>
      </c>
      <c r="AD250">
        <v>0</v>
      </c>
    </row>
    <row r="251" spans="1:30" hidden="1" x14ac:dyDescent="0.35">
      <c r="A251" s="2">
        <v>45890</v>
      </c>
      <c r="B251" t="s">
        <v>27</v>
      </c>
      <c r="C251">
        <v>1.16980004310607</v>
      </c>
      <c r="D251">
        <v>1.17005002498626</v>
      </c>
      <c r="E251">
        <v>1.16974997520446</v>
      </c>
      <c r="F251">
        <v>1.1698499917984</v>
      </c>
      <c r="G251">
        <v>23</v>
      </c>
      <c r="H251">
        <v>1.16949999332427</v>
      </c>
      <c r="I251">
        <v>-7.4999332427982902E-4</v>
      </c>
      <c r="J251" t="str">
        <f t="shared" si="27"/>
        <v>DOWN</v>
      </c>
      <c r="K251">
        <v>1.17326000452041</v>
      </c>
      <c r="L251">
        <v>-1.1899948120119801E-4</v>
      </c>
      <c r="M251" t="str">
        <f t="shared" si="28"/>
        <v>DOWN</v>
      </c>
      <c r="N251">
        <v>-3.7600111961364402E-3</v>
      </c>
      <c r="O251" t="str">
        <f t="shared" si="29"/>
        <v>DOWN</v>
      </c>
      <c r="P251">
        <v>40.187960204903298</v>
      </c>
      <c r="Q251">
        <v>2.8562684682862098</v>
      </c>
      <c r="R251" t="str">
        <f t="shared" si="30"/>
        <v>UP</v>
      </c>
      <c r="S251">
        <v>1.1684499979019101</v>
      </c>
      <c r="T251" t="str">
        <f t="shared" si="24"/>
        <v>UP</v>
      </c>
      <c r="U251">
        <v>1.1684999465942301</v>
      </c>
      <c r="V251" t="str">
        <f t="shared" si="31"/>
        <v>UP</v>
      </c>
      <c r="W251">
        <v>1.16919994354248</v>
      </c>
      <c r="X251" t="str">
        <f t="shared" si="25"/>
        <v>UP</v>
      </c>
      <c r="Y251">
        <v>1.1707999706268299</v>
      </c>
      <c r="Z251" t="str">
        <f t="shared" si="26"/>
        <v>DOWN</v>
      </c>
      <c r="AA251">
        <v>0</v>
      </c>
      <c r="AB251">
        <v>0</v>
      </c>
      <c r="AC251">
        <v>0</v>
      </c>
      <c r="AD251">
        <v>0</v>
      </c>
    </row>
    <row r="252" spans="1:30" hidden="1" x14ac:dyDescent="0.35">
      <c r="A252" s="2">
        <v>45890</v>
      </c>
      <c r="B252" t="s">
        <v>38</v>
      </c>
      <c r="C252">
        <v>1.16929996013641</v>
      </c>
      <c r="D252">
        <v>1.16974997520446</v>
      </c>
      <c r="E252">
        <v>1.1690000295639</v>
      </c>
      <c r="F252">
        <v>1.16960000991821</v>
      </c>
      <c r="G252">
        <v>53</v>
      </c>
      <c r="H252">
        <v>1.16935999393463</v>
      </c>
      <c r="I252">
        <v>-1.3999938964848099E-4</v>
      </c>
      <c r="J252" t="str">
        <f t="shared" si="27"/>
        <v>DOWN</v>
      </c>
      <c r="K252">
        <v>1.17312600374221</v>
      </c>
      <c r="L252">
        <v>-1.3400077819825099E-4</v>
      </c>
      <c r="M252" t="str">
        <f t="shared" si="28"/>
        <v>DOWN</v>
      </c>
      <c r="N252">
        <v>-3.7660098075866701E-3</v>
      </c>
      <c r="O252" t="str">
        <f t="shared" si="29"/>
        <v>DOWN</v>
      </c>
      <c r="P252">
        <v>38.608748982928397</v>
      </c>
      <c r="Q252">
        <v>-1.5792112219749499</v>
      </c>
      <c r="R252" t="str">
        <f t="shared" si="30"/>
        <v>DOWN</v>
      </c>
      <c r="S252">
        <v>1.16974997520446</v>
      </c>
      <c r="T252" t="str">
        <f t="shared" si="24"/>
        <v>DOWN</v>
      </c>
      <c r="U252">
        <v>1.1684499979019101</v>
      </c>
      <c r="V252" t="str">
        <f t="shared" si="31"/>
        <v>UP</v>
      </c>
      <c r="W252">
        <v>1.17005002498626</v>
      </c>
      <c r="X252" t="str">
        <f t="shared" si="25"/>
        <v>DOWN</v>
      </c>
      <c r="Y252">
        <v>1.16919994354248</v>
      </c>
      <c r="Z252" t="str">
        <f t="shared" si="26"/>
        <v>UP</v>
      </c>
      <c r="AA252">
        <v>0</v>
      </c>
      <c r="AB252">
        <v>0</v>
      </c>
      <c r="AC252">
        <v>0</v>
      </c>
      <c r="AD252">
        <v>0</v>
      </c>
    </row>
    <row r="253" spans="1:30" hidden="1" x14ac:dyDescent="0.35">
      <c r="A253" s="2">
        <v>45890</v>
      </c>
      <c r="B253" t="s">
        <v>28</v>
      </c>
      <c r="C253">
        <v>1.16914999485015</v>
      </c>
      <c r="D253">
        <v>1.16919994354248</v>
      </c>
      <c r="E253">
        <v>1.16914999485015</v>
      </c>
      <c r="F253">
        <v>1.16919994354248</v>
      </c>
      <c r="G253">
        <v>11</v>
      </c>
      <c r="H253">
        <v>1.16926999092102</v>
      </c>
      <c r="I253" s="1">
        <v>-9.0003013610839803E-5</v>
      </c>
      <c r="J253" t="str">
        <f t="shared" si="27"/>
        <v>DOWN</v>
      </c>
      <c r="K253">
        <v>1.1729780030250501</v>
      </c>
      <c r="L253">
        <v>-1.48000717163032E-4</v>
      </c>
      <c r="M253" t="str">
        <f t="shared" si="28"/>
        <v>DOWN</v>
      </c>
      <c r="N253">
        <v>-3.7080121040344799E-3</v>
      </c>
      <c r="O253" t="str">
        <f t="shared" si="29"/>
        <v>DOWN</v>
      </c>
      <c r="P253">
        <v>38.124925854866298</v>
      </c>
      <c r="Q253">
        <v>-0.483823128062077</v>
      </c>
      <c r="R253" t="str">
        <f t="shared" si="30"/>
        <v>DOWN</v>
      </c>
      <c r="S253">
        <v>1.1690000295639</v>
      </c>
      <c r="T253" t="str">
        <f t="shared" si="24"/>
        <v>UP</v>
      </c>
      <c r="U253">
        <v>1.16974997520446</v>
      </c>
      <c r="V253" t="str">
        <f t="shared" si="31"/>
        <v>DOWN</v>
      </c>
      <c r="W253">
        <v>1.16974997520446</v>
      </c>
      <c r="X253" t="str">
        <f t="shared" si="25"/>
        <v>DOWN</v>
      </c>
      <c r="Y253">
        <v>1.17005002498626</v>
      </c>
      <c r="Z253" t="str">
        <f t="shared" si="26"/>
        <v>DOWN</v>
      </c>
      <c r="AA253">
        <v>0</v>
      </c>
      <c r="AB253">
        <v>0</v>
      </c>
      <c r="AC253">
        <v>0</v>
      </c>
      <c r="AD253">
        <v>0</v>
      </c>
    </row>
    <row r="254" spans="1:30" hidden="1" x14ac:dyDescent="0.35">
      <c r="A254" s="2">
        <v>45890</v>
      </c>
      <c r="B254" t="s">
        <v>39</v>
      </c>
      <c r="C254">
        <v>1.16904997825622</v>
      </c>
      <c r="D254">
        <v>1.16904997825622</v>
      </c>
      <c r="E254">
        <v>1.16875004768371</v>
      </c>
      <c r="F254">
        <v>1.16875004768371</v>
      </c>
      <c r="G254">
        <v>0</v>
      </c>
      <c r="H254">
        <v>1.1692999839782701</v>
      </c>
      <c r="I254" s="1">
        <v>2.9993057250932099E-5</v>
      </c>
      <c r="J254" t="str">
        <f t="shared" si="27"/>
        <v>UP</v>
      </c>
      <c r="K254">
        <v>1.17281200170516</v>
      </c>
      <c r="L254">
        <v>-1.6600131988519999E-4</v>
      </c>
      <c r="M254" t="str">
        <f t="shared" si="28"/>
        <v>DOWN</v>
      </c>
      <c r="N254">
        <v>-3.5120177268983502E-3</v>
      </c>
      <c r="O254" t="str">
        <f t="shared" si="29"/>
        <v>DOWN</v>
      </c>
      <c r="P254">
        <v>37.784843168627702</v>
      </c>
      <c r="Q254">
        <v>-0.34008268623857402</v>
      </c>
      <c r="R254" t="str">
        <f t="shared" si="30"/>
        <v>DOWN</v>
      </c>
      <c r="S254">
        <v>1.16914999485015</v>
      </c>
      <c r="T254" t="str">
        <f t="shared" si="24"/>
        <v>DOWN</v>
      </c>
      <c r="U254">
        <v>1.1690000295639</v>
      </c>
      <c r="V254" t="str">
        <f t="shared" si="31"/>
        <v>DOWN</v>
      </c>
      <c r="W254">
        <v>1.16919994354248</v>
      </c>
      <c r="X254" t="str">
        <f t="shared" si="25"/>
        <v>DOWN</v>
      </c>
      <c r="Y254">
        <v>1.16974997520446</v>
      </c>
      <c r="Z254" t="str">
        <f t="shared" si="26"/>
        <v>DOWN</v>
      </c>
      <c r="AA254">
        <v>0</v>
      </c>
      <c r="AB254">
        <v>0</v>
      </c>
      <c r="AC254">
        <v>0</v>
      </c>
      <c r="AD254">
        <v>0</v>
      </c>
    </row>
    <row r="255" spans="1:30" hidden="1" x14ac:dyDescent="0.35">
      <c r="A255" s="2">
        <v>45890</v>
      </c>
      <c r="B255" t="s">
        <v>40</v>
      </c>
      <c r="C255">
        <v>1.16935002803802</v>
      </c>
      <c r="D255">
        <v>1.16949999332427</v>
      </c>
      <c r="E255">
        <v>1.16935002803802</v>
      </c>
      <c r="F255">
        <v>1.16949999332427</v>
      </c>
      <c r="G255">
        <v>4</v>
      </c>
      <c r="H255">
        <v>1.1693300008773799</v>
      </c>
      <c r="I255" s="1">
        <v>3.0016899108975499E-5</v>
      </c>
      <c r="J255" t="str">
        <f t="shared" si="27"/>
        <v>UP</v>
      </c>
      <c r="K255">
        <v>1.17266000270843</v>
      </c>
      <c r="L255">
        <v>-1.5199899673468099E-4</v>
      </c>
      <c r="M255" t="str">
        <f t="shared" si="28"/>
        <v>DOWN</v>
      </c>
      <c r="N255">
        <v>-3.3300018310546899E-3</v>
      </c>
      <c r="O255" t="str">
        <f t="shared" si="29"/>
        <v>DOWN</v>
      </c>
      <c r="P255">
        <v>39.527607270247202</v>
      </c>
      <c r="Q255">
        <v>1.7427641016194499</v>
      </c>
      <c r="R255" t="str">
        <f t="shared" si="30"/>
        <v>UP</v>
      </c>
      <c r="S255">
        <v>1.16875004768371</v>
      </c>
      <c r="T255" t="str">
        <f t="shared" si="24"/>
        <v>UP</v>
      </c>
      <c r="U255">
        <v>1.16914999485015</v>
      </c>
      <c r="V255" t="str">
        <f t="shared" si="31"/>
        <v>UP</v>
      </c>
      <c r="W255">
        <v>1.16904997825622</v>
      </c>
      <c r="X255" t="str">
        <f t="shared" si="25"/>
        <v>UP</v>
      </c>
      <c r="Y255">
        <v>1.16919994354248</v>
      </c>
      <c r="Z255" t="str">
        <f t="shared" si="26"/>
        <v>UP</v>
      </c>
      <c r="AA255">
        <v>0</v>
      </c>
      <c r="AB255">
        <v>0</v>
      </c>
      <c r="AC255">
        <v>0</v>
      </c>
      <c r="AD255">
        <v>0</v>
      </c>
    </row>
    <row r="256" spans="1:30" hidden="1" x14ac:dyDescent="0.35">
      <c r="A256" s="2">
        <v>45891</v>
      </c>
      <c r="B256" t="s">
        <v>30</v>
      </c>
      <c r="C256">
        <v>1.16910004615783</v>
      </c>
      <c r="D256">
        <v>1.16910004615783</v>
      </c>
      <c r="E256">
        <v>1.16910004615783</v>
      </c>
      <c r="F256">
        <v>1.16910004615783</v>
      </c>
      <c r="G256">
        <v>6</v>
      </c>
      <c r="H256">
        <v>1.1691900014877299</v>
      </c>
      <c r="I256">
        <v>-1.3999938964848099E-4</v>
      </c>
      <c r="J256" t="str">
        <f t="shared" si="27"/>
        <v>DOWN</v>
      </c>
      <c r="K256">
        <v>1.1725220036506601</v>
      </c>
      <c r="L256">
        <v>-1.3799905776967701E-4</v>
      </c>
      <c r="M256" t="str">
        <f t="shared" si="28"/>
        <v>DOWN</v>
      </c>
      <c r="N256">
        <v>-3.3320021629335002E-3</v>
      </c>
      <c r="O256" t="str">
        <f t="shared" si="29"/>
        <v>DOWN</v>
      </c>
      <c r="P256">
        <v>38.558520499060997</v>
      </c>
      <c r="Q256">
        <v>-0.96908677118616904</v>
      </c>
      <c r="R256" t="str">
        <f t="shared" si="30"/>
        <v>DOWN</v>
      </c>
      <c r="S256">
        <v>1.16935002803802</v>
      </c>
      <c r="T256" t="str">
        <f t="shared" si="24"/>
        <v>DOWN</v>
      </c>
      <c r="U256">
        <v>1.16875004768371</v>
      </c>
      <c r="V256" t="str">
        <f t="shared" si="31"/>
        <v>UP</v>
      </c>
      <c r="W256">
        <v>1.16949999332427</v>
      </c>
      <c r="X256" t="str">
        <f t="shared" si="25"/>
        <v>DOWN</v>
      </c>
      <c r="Y256">
        <v>1.16904997825622</v>
      </c>
      <c r="Z256" t="str">
        <f t="shared" si="26"/>
        <v>UP</v>
      </c>
      <c r="AA256">
        <v>0</v>
      </c>
      <c r="AB256">
        <v>0</v>
      </c>
      <c r="AC256">
        <v>0</v>
      </c>
      <c r="AD256">
        <v>0</v>
      </c>
    </row>
    <row r="257" spans="1:30" hidden="1" x14ac:dyDescent="0.35">
      <c r="A257" s="2">
        <v>45891</v>
      </c>
      <c r="B257" t="s">
        <v>31</v>
      </c>
      <c r="C257">
        <v>1.16919994354248</v>
      </c>
      <c r="D257">
        <v>1.16960000991821</v>
      </c>
      <c r="E257">
        <v>1.16919994354248</v>
      </c>
      <c r="F257">
        <v>1.16929996013641</v>
      </c>
      <c r="G257">
        <v>14</v>
      </c>
      <c r="H257">
        <v>1.1691699981689401</v>
      </c>
      <c r="I257" s="1">
        <v>-2.0003318786487799E-5</v>
      </c>
      <c r="J257" t="str">
        <f t="shared" si="27"/>
        <v>DOWN</v>
      </c>
      <c r="K257">
        <v>1.1723790025711001</v>
      </c>
      <c r="L257">
        <v>-1.43001079559335E-4</v>
      </c>
      <c r="M257" t="str">
        <f t="shared" si="28"/>
        <v>DOWN</v>
      </c>
      <c r="N257">
        <v>-3.2090044021606499E-3</v>
      </c>
      <c r="O257" t="str">
        <f t="shared" si="29"/>
        <v>DOWN</v>
      </c>
      <c r="P257">
        <v>39.200019304689597</v>
      </c>
      <c r="Q257">
        <v>0.64149880562865702</v>
      </c>
      <c r="R257" t="str">
        <f t="shared" si="30"/>
        <v>UP</v>
      </c>
      <c r="S257">
        <v>1.16910004615783</v>
      </c>
      <c r="T257" t="str">
        <f t="shared" si="24"/>
        <v>UP</v>
      </c>
      <c r="U257">
        <v>1.16935002803802</v>
      </c>
      <c r="V257" t="str">
        <f t="shared" si="31"/>
        <v>DOWN</v>
      </c>
      <c r="W257">
        <v>1.16910004615783</v>
      </c>
      <c r="X257" t="str">
        <f t="shared" si="25"/>
        <v>UP</v>
      </c>
      <c r="Y257">
        <v>1.16949999332427</v>
      </c>
      <c r="Z257" t="str">
        <f t="shared" si="26"/>
        <v>UP</v>
      </c>
      <c r="AA257">
        <v>0</v>
      </c>
      <c r="AB257">
        <v>0</v>
      </c>
      <c r="AC257">
        <v>0</v>
      </c>
      <c r="AD257">
        <v>0</v>
      </c>
    </row>
    <row r="258" spans="1:30" hidden="1" x14ac:dyDescent="0.35">
      <c r="A258" s="2">
        <v>45891</v>
      </c>
      <c r="B258" t="s">
        <v>32</v>
      </c>
      <c r="C258">
        <v>1.1676000356674101</v>
      </c>
      <c r="D258">
        <v>1.16894996166229</v>
      </c>
      <c r="E258">
        <v>1.1674000024795499</v>
      </c>
      <c r="F258">
        <v>1.16894996166229</v>
      </c>
      <c r="G258">
        <v>24</v>
      </c>
      <c r="H258">
        <v>1.16886000633239</v>
      </c>
      <c r="I258">
        <v>-3.09991836547895E-4</v>
      </c>
      <c r="J258" t="str">
        <f t="shared" si="27"/>
        <v>DOWN</v>
      </c>
      <c r="K258">
        <v>1.17221700429916</v>
      </c>
      <c r="L258">
        <v>-1.61998271942298E-4</v>
      </c>
      <c r="M258" t="str">
        <f t="shared" si="28"/>
        <v>DOWN</v>
      </c>
      <c r="N258">
        <v>-3.35699796676625E-3</v>
      </c>
      <c r="O258" t="str">
        <f t="shared" si="29"/>
        <v>DOWN</v>
      </c>
      <c r="P258">
        <v>33.218170424423299</v>
      </c>
      <c r="Q258">
        <v>-5.9818488802663499</v>
      </c>
      <c r="R258" t="str">
        <f t="shared" si="30"/>
        <v>DOWN</v>
      </c>
      <c r="S258">
        <v>1.16919994354248</v>
      </c>
      <c r="T258" t="str">
        <f t="shared" ref="T258:T321" si="32">IF((E258-S258)&lt;0,"DOWN","UP")</f>
        <v>DOWN</v>
      </c>
      <c r="U258">
        <v>1.16910004615783</v>
      </c>
      <c r="V258" t="str">
        <f t="shared" si="31"/>
        <v>DOWN</v>
      </c>
      <c r="W258">
        <v>1.16960000991821</v>
      </c>
      <c r="X258" t="str">
        <f t="shared" ref="X258:X321" si="33">IF((D258-W258)&gt;0,"UP","DOWN")</f>
        <v>DOWN</v>
      </c>
      <c r="Y258">
        <v>1.16910004615783</v>
      </c>
      <c r="Z258" t="str">
        <f t="shared" ref="Z258:Z321" si="34">IF((D258-Y258)&gt;0,"UP","DOWN")</f>
        <v>DOWN</v>
      </c>
      <c r="AA258">
        <v>0</v>
      </c>
      <c r="AB258">
        <v>0</v>
      </c>
      <c r="AC258">
        <v>0</v>
      </c>
      <c r="AD258">
        <v>0</v>
      </c>
    </row>
    <row r="259" spans="1:30" hidden="1" x14ac:dyDescent="0.35">
      <c r="A259" s="2">
        <v>45891</v>
      </c>
      <c r="B259" t="s">
        <v>33</v>
      </c>
      <c r="C259">
        <v>1.1668000221252399</v>
      </c>
      <c r="D259">
        <v>1.1671999692916799</v>
      </c>
      <c r="E259">
        <v>1.1663999557495099</v>
      </c>
      <c r="F259">
        <v>1.1671999692916799</v>
      </c>
      <c r="G259">
        <v>68</v>
      </c>
      <c r="H259">
        <v>1.1684100151062</v>
      </c>
      <c r="I259">
        <v>-4.4999122619637701E-4</v>
      </c>
      <c r="J259" t="str">
        <f t="shared" ref="J259:J322" si="35">IF(I259&gt;0,"UP","DOWN")</f>
        <v>DOWN</v>
      </c>
      <c r="K259">
        <v>1.17206000566482</v>
      </c>
      <c r="L259">
        <v>-1.5699863433837801E-4</v>
      </c>
      <c r="M259" t="str">
        <f t="shared" ref="M259:M322" si="36">IF(L259&gt;0,"UP","DOWN")</f>
        <v>DOWN</v>
      </c>
      <c r="N259">
        <v>-3.6499905586242498E-3</v>
      </c>
      <c r="O259" t="str">
        <f t="shared" ref="O259:O322" si="37">IF(N259&gt;0,"UP","DOWN")</f>
        <v>DOWN</v>
      </c>
      <c r="P259">
        <v>30.695766224689098</v>
      </c>
      <c r="Q259">
        <v>-2.5224041997341899</v>
      </c>
      <c r="R259" t="str">
        <f t="shared" ref="R259:R322" si="38">IF(Q259&gt;0,"UP","DOWN")</f>
        <v>DOWN</v>
      </c>
      <c r="S259">
        <v>1.1674000024795499</v>
      </c>
      <c r="T259" t="str">
        <f t="shared" si="32"/>
        <v>DOWN</v>
      </c>
      <c r="U259">
        <v>1.16919994354248</v>
      </c>
      <c r="V259" t="str">
        <f t="shared" ref="V259:V322" si="39">IF((E259-U259)&lt;0,"DOWN","UP")</f>
        <v>DOWN</v>
      </c>
      <c r="W259">
        <v>1.16894996166229</v>
      </c>
      <c r="X259" t="str">
        <f t="shared" si="33"/>
        <v>DOWN</v>
      </c>
      <c r="Y259">
        <v>1.16960000991821</v>
      </c>
      <c r="Z259" t="str">
        <f t="shared" si="34"/>
        <v>DOWN</v>
      </c>
      <c r="AA259">
        <v>0</v>
      </c>
      <c r="AB259">
        <v>1</v>
      </c>
      <c r="AC259">
        <v>0</v>
      </c>
      <c r="AD259">
        <v>0</v>
      </c>
    </row>
    <row r="260" spans="1:30" hidden="1" x14ac:dyDescent="0.35">
      <c r="A260" s="2">
        <v>45891</v>
      </c>
      <c r="B260" t="s">
        <v>41</v>
      </c>
      <c r="C260">
        <v>1.1667000055313099</v>
      </c>
      <c r="D260">
        <v>1.1670000553131099</v>
      </c>
      <c r="E260">
        <v>1.1666500568389799</v>
      </c>
      <c r="F260">
        <v>1.1666500568389799</v>
      </c>
      <c r="G260">
        <v>7</v>
      </c>
      <c r="H260">
        <v>1.1678800106048499</v>
      </c>
      <c r="I260">
        <v>-5.30004501342773E-4</v>
      </c>
      <c r="J260" t="str">
        <f t="shared" si="35"/>
        <v>DOWN</v>
      </c>
      <c r="K260">
        <v>1.17191000461578</v>
      </c>
      <c r="L260">
        <v>-1.5000104904161401E-4</v>
      </c>
      <c r="M260" t="str">
        <f t="shared" si="36"/>
        <v>DOWN</v>
      </c>
      <c r="N260">
        <v>-4.0299940109253998E-3</v>
      </c>
      <c r="O260" t="str">
        <f t="shared" si="37"/>
        <v>DOWN</v>
      </c>
      <c r="P260">
        <v>30.3851247770383</v>
      </c>
      <c r="Q260">
        <v>-0.31064144765082302</v>
      </c>
      <c r="R260" t="str">
        <f t="shared" si="38"/>
        <v>DOWN</v>
      </c>
      <c r="S260">
        <v>1.1663999557495099</v>
      </c>
      <c r="T260" t="str">
        <f t="shared" si="32"/>
        <v>UP</v>
      </c>
      <c r="U260">
        <v>1.1674000024795499</v>
      </c>
      <c r="V260" t="str">
        <f t="shared" si="39"/>
        <v>DOWN</v>
      </c>
      <c r="W260">
        <v>1.1671999692916799</v>
      </c>
      <c r="X260" t="str">
        <f t="shared" si="33"/>
        <v>DOWN</v>
      </c>
      <c r="Y260">
        <v>1.16894996166229</v>
      </c>
      <c r="Z260" t="str">
        <f t="shared" si="34"/>
        <v>DOWN</v>
      </c>
      <c r="AA260">
        <v>0</v>
      </c>
      <c r="AB260">
        <v>0</v>
      </c>
      <c r="AC260">
        <v>0</v>
      </c>
      <c r="AD260">
        <v>0</v>
      </c>
    </row>
    <row r="261" spans="1:30" hidden="1" x14ac:dyDescent="0.35">
      <c r="A261" s="2">
        <v>45891</v>
      </c>
      <c r="B261" t="s">
        <v>34</v>
      </c>
      <c r="C261">
        <v>1.1671999692916799</v>
      </c>
      <c r="D261">
        <v>1.1676000356674101</v>
      </c>
      <c r="E261">
        <v>1.1668000221252399</v>
      </c>
      <c r="F261">
        <v>1.1669000387191699</v>
      </c>
      <c r="G261">
        <v>50</v>
      </c>
      <c r="H261">
        <v>1.1674999952316201</v>
      </c>
      <c r="I261">
        <v>-3.8001537322984703E-4</v>
      </c>
      <c r="J261" t="str">
        <f t="shared" si="35"/>
        <v>DOWN</v>
      </c>
      <c r="K261">
        <v>1.17177000284194</v>
      </c>
      <c r="L261">
        <v>-1.4000177383421901E-4</v>
      </c>
      <c r="M261" t="str">
        <f t="shared" si="36"/>
        <v>DOWN</v>
      </c>
      <c r="N261">
        <v>-4.27000761032103E-3</v>
      </c>
      <c r="O261" t="str">
        <f t="shared" si="37"/>
        <v>DOWN</v>
      </c>
      <c r="P261">
        <v>33.981757019226599</v>
      </c>
      <c r="Q261">
        <v>3.5966322421883699</v>
      </c>
      <c r="R261" t="str">
        <f t="shared" si="38"/>
        <v>UP</v>
      </c>
      <c r="S261">
        <v>1.1666500568389799</v>
      </c>
      <c r="T261" t="str">
        <f t="shared" si="32"/>
        <v>UP</v>
      </c>
      <c r="U261">
        <v>1.1663999557495099</v>
      </c>
      <c r="V261" t="str">
        <f t="shared" si="39"/>
        <v>UP</v>
      </c>
      <c r="W261">
        <v>1.1670000553131099</v>
      </c>
      <c r="X261" t="str">
        <f t="shared" si="33"/>
        <v>UP</v>
      </c>
      <c r="Y261">
        <v>1.1671999692916799</v>
      </c>
      <c r="Z261" t="str">
        <f t="shared" si="34"/>
        <v>UP</v>
      </c>
      <c r="AA261">
        <v>0</v>
      </c>
      <c r="AB261">
        <v>0</v>
      </c>
      <c r="AC261">
        <v>0</v>
      </c>
      <c r="AD261">
        <v>0</v>
      </c>
    </row>
    <row r="262" spans="1:30" hidden="1" x14ac:dyDescent="0.35">
      <c r="A262" s="2">
        <v>45891</v>
      </c>
      <c r="B262" t="s">
        <v>35</v>
      </c>
      <c r="C262">
        <v>1.1676000356674101</v>
      </c>
      <c r="D262">
        <v>1.1679999828338601</v>
      </c>
      <c r="E262">
        <v>1.1670500040054299</v>
      </c>
      <c r="F262">
        <v>1.1670500040054299</v>
      </c>
      <c r="G262">
        <v>22</v>
      </c>
      <c r="H262">
        <v>1.1671800136566099</v>
      </c>
      <c r="I262">
        <v>-3.1998157501233999E-4</v>
      </c>
      <c r="J262" t="str">
        <f t="shared" si="35"/>
        <v>DOWN</v>
      </c>
      <c r="K262">
        <v>1.17165600299835</v>
      </c>
      <c r="L262">
        <v>-1.1399984359750001E-4</v>
      </c>
      <c r="M262" t="str">
        <f t="shared" si="36"/>
        <v>DOWN</v>
      </c>
      <c r="N262">
        <v>-4.4759893417358702E-3</v>
      </c>
      <c r="O262" t="str">
        <f t="shared" si="37"/>
        <v>DOWN</v>
      </c>
      <c r="P262">
        <v>36.795721874484002</v>
      </c>
      <c r="Q262">
        <v>2.8139648552573102</v>
      </c>
      <c r="R262" t="str">
        <f t="shared" si="38"/>
        <v>UP</v>
      </c>
      <c r="S262">
        <v>1.1668000221252399</v>
      </c>
      <c r="T262" t="str">
        <f t="shared" si="32"/>
        <v>UP</v>
      </c>
      <c r="U262">
        <v>1.1666500568389799</v>
      </c>
      <c r="V262" t="str">
        <f t="shared" si="39"/>
        <v>UP</v>
      </c>
      <c r="W262">
        <v>1.1676000356674101</v>
      </c>
      <c r="X262" t="str">
        <f t="shared" si="33"/>
        <v>UP</v>
      </c>
      <c r="Y262">
        <v>1.1670000553131099</v>
      </c>
      <c r="Z262" t="str">
        <f t="shared" si="34"/>
        <v>UP</v>
      </c>
      <c r="AA262">
        <v>0</v>
      </c>
      <c r="AB262">
        <v>0</v>
      </c>
      <c r="AC262">
        <v>0</v>
      </c>
      <c r="AD262">
        <v>0</v>
      </c>
    </row>
    <row r="263" spans="1:30" hidden="1" x14ac:dyDescent="0.35">
      <c r="A263" s="2">
        <v>45891</v>
      </c>
      <c r="B263" t="s">
        <v>36</v>
      </c>
      <c r="C263">
        <v>1.1680500507354701</v>
      </c>
      <c r="D263">
        <v>1.1680500507354701</v>
      </c>
      <c r="E263">
        <v>1.1674000024795499</v>
      </c>
      <c r="F263">
        <v>1.1674499511718699</v>
      </c>
      <c r="G263">
        <v>1427</v>
      </c>
      <c r="H263">
        <v>1.1672700166702199</v>
      </c>
      <c r="I263" s="1">
        <v>9.0003013610839803E-5</v>
      </c>
      <c r="J263" t="str">
        <f t="shared" si="35"/>
        <v>UP</v>
      </c>
      <c r="K263">
        <v>1.17155300378799</v>
      </c>
      <c r="L263">
        <v>-1.0299921035761201E-4</v>
      </c>
      <c r="M263" t="str">
        <f t="shared" si="36"/>
        <v>DOWN</v>
      </c>
      <c r="N263">
        <v>-4.2829871177674202E-3</v>
      </c>
      <c r="O263" t="str">
        <f t="shared" si="37"/>
        <v>DOWN</v>
      </c>
      <c r="P263">
        <v>39.898968693074799</v>
      </c>
      <c r="Q263">
        <v>3.10324681859082</v>
      </c>
      <c r="R263" t="str">
        <f t="shared" si="38"/>
        <v>UP</v>
      </c>
      <c r="S263">
        <v>1.1670500040054299</v>
      </c>
      <c r="T263" t="str">
        <f t="shared" si="32"/>
        <v>UP</v>
      </c>
      <c r="U263">
        <v>1.1668000221252399</v>
      </c>
      <c r="V263" t="str">
        <f t="shared" si="39"/>
        <v>UP</v>
      </c>
      <c r="W263">
        <v>1.1679999828338601</v>
      </c>
      <c r="X263" t="str">
        <f t="shared" si="33"/>
        <v>UP</v>
      </c>
      <c r="Y263">
        <v>1.1676000356674101</v>
      </c>
      <c r="Z263" t="str">
        <f t="shared" si="34"/>
        <v>UP</v>
      </c>
      <c r="AA263">
        <v>0</v>
      </c>
      <c r="AB263">
        <v>0</v>
      </c>
      <c r="AC263">
        <v>0</v>
      </c>
      <c r="AD263">
        <v>0</v>
      </c>
    </row>
    <row r="264" spans="1:30" hidden="1" x14ac:dyDescent="0.35">
      <c r="A264" s="2">
        <v>45891</v>
      </c>
      <c r="B264" t="s">
        <v>37</v>
      </c>
      <c r="C264">
        <v>1.1677999496459901</v>
      </c>
      <c r="D264">
        <v>1.1684000492095901</v>
      </c>
      <c r="E264">
        <v>1.1677999496459901</v>
      </c>
      <c r="F264">
        <v>1.1679999828338601</v>
      </c>
      <c r="G264">
        <v>309</v>
      </c>
      <c r="H264">
        <v>1.16747000217437</v>
      </c>
      <c r="I264">
        <v>1.99985504150346E-4</v>
      </c>
      <c r="J264" t="str">
        <f t="shared" si="35"/>
        <v>UP</v>
      </c>
      <c r="K264">
        <v>1.1714550018310499</v>
      </c>
      <c r="L264" s="1">
        <v>-9.8001956939652802E-5</v>
      </c>
      <c r="M264" t="str">
        <f t="shared" si="36"/>
        <v>DOWN</v>
      </c>
      <c r="N264">
        <v>-3.9849996566774203E-3</v>
      </c>
      <c r="O264" t="str">
        <f t="shared" si="37"/>
        <v>DOWN</v>
      </c>
      <c r="P264">
        <v>38.759961691463701</v>
      </c>
      <c r="Q264">
        <v>-1.13900700161108</v>
      </c>
      <c r="R264" t="str">
        <f t="shared" si="38"/>
        <v>DOWN</v>
      </c>
      <c r="S264">
        <v>1.1674000024795499</v>
      </c>
      <c r="T264" t="str">
        <f t="shared" si="32"/>
        <v>UP</v>
      </c>
      <c r="U264">
        <v>1.1670500040054299</v>
      </c>
      <c r="V264" t="str">
        <f t="shared" si="39"/>
        <v>UP</v>
      </c>
      <c r="W264">
        <v>1.1680500507354701</v>
      </c>
      <c r="X264" t="str">
        <f t="shared" si="33"/>
        <v>UP</v>
      </c>
      <c r="Y264">
        <v>1.1679999828338601</v>
      </c>
      <c r="Z264" t="str">
        <f t="shared" si="34"/>
        <v>UP</v>
      </c>
      <c r="AA264">
        <v>0</v>
      </c>
      <c r="AB264">
        <v>0</v>
      </c>
      <c r="AC264">
        <v>0</v>
      </c>
      <c r="AD264">
        <v>0</v>
      </c>
    </row>
    <row r="265" spans="1:30" hidden="1" x14ac:dyDescent="0.35">
      <c r="A265" s="2">
        <v>45891</v>
      </c>
      <c r="B265" t="s">
        <v>20</v>
      </c>
      <c r="C265">
        <v>1.1677500009536701</v>
      </c>
      <c r="D265">
        <v>1.1682000160217201</v>
      </c>
      <c r="E265">
        <v>1.1677500009536701</v>
      </c>
      <c r="F265">
        <v>1.1680500507354701</v>
      </c>
      <c r="G265">
        <v>9</v>
      </c>
      <c r="H265">
        <v>1.16768000125885</v>
      </c>
      <c r="I265">
        <v>2.0999908447283299E-4</v>
      </c>
      <c r="J265" t="str">
        <f t="shared" si="35"/>
        <v>UP</v>
      </c>
      <c r="K265">
        <v>1.17136300086975</v>
      </c>
      <c r="L265" s="1">
        <v>-9.2000961303906296E-5</v>
      </c>
      <c r="M265" t="str">
        <f t="shared" si="36"/>
        <v>DOWN</v>
      </c>
      <c r="N265">
        <v>-3.68299961090068E-3</v>
      </c>
      <c r="O265" t="str">
        <f t="shared" si="37"/>
        <v>DOWN</v>
      </c>
      <c r="P265">
        <v>38.523433487711799</v>
      </c>
      <c r="Q265">
        <v>-0.236528203751873</v>
      </c>
      <c r="R265" t="str">
        <f t="shared" si="38"/>
        <v>DOWN</v>
      </c>
      <c r="S265">
        <v>1.1677999496459901</v>
      </c>
      <c r="T265" t="str">
        <f t="shared" si="32"/>
        <v>DOWN</v>
      </c>
      <c r="U265">
        <v>1.1674000024795499</v>
      </c>
      <c r="V265" t="str">
        <f t="shared" si="39"/>
        <v>UP</v>
      </c>
      <c r="W265">
        <v>1.1684000492095901</v>
      </c>
      <c r="X265" t="str">
        <f t="shared" si="33"/>
        <v>DOWN</v>
      </c>
      <c r="Y265">
        <v>1.1680500507354701</v>
      </c>
      <c r="Z265" t="str">
        <f t="shared" si="34"/>
        <v>UP</v>
      </c>
      <c r="AA265">
        <v>0</v>
      </c>
      <c r="AB265">
        <v>0</v>
      </c>
      <c r="AC265">
        <v>0</v>
      </c>
      <c r="AD265">
        <v>0</v>
      </c>
    </row>
    <row r="266" spans="1:30" hidden="1" x14ac:dyDescent="0.35">
      <c r="A266" s="2">
        <v>45891</v>
      </c>
      <c r="B266" t="s">
        <v>21</v>
      </c>
      <c r="C266">
        <v>1.1686999797821001</v>
      </c>
      <c r="D266">
        <v>1.16879999637603</v>
      </c>
      <c r="E266">
        <v>1.1678999662399201</v>
      </c>
      <c r="F266">
        <v>1.1682000160217201</v>
      </c>
      <c r="G266">
        <v>130</v>
      </c>
      <c r="H266">
        <v>1.1679800033569301</v>
      </c>
      <c r="I266">
        <v>3.0000209808345098E-4</v>
      </c>
      <c r="J266" t="str">
        <f t="shared" si="35"/>
        <v>UP</v>
      </c>
      <c r="K266">
        <v>1.17130399942398</v>
      </c>
      <c r="L266" s="1">
        <v>-5.9001445770201499E-5</v>
      </c>
      <c r="M266" t="str">
        <f t="shared" si="36"/>
        <v>DOWN</v>
      </c>
      <c r="N266">
        <v>-3.3239960670470299E-3</v>
      </c>
      <c r="O266" t="str">
        <f t="shared" si="37"/>
        <v>DOWN</v>
      </c>
      <c r="P266">
        <v>45.353660770795798</v>
      </c>
      <c r="Q266">
        <v>6.8302272830839303</v>
      </c>
      <c r="R266" t="str">
        <f t="shared" si="38"/>
        <v>UP</v>
      </c>
      <c r="S266">
        <v>1.1677500009536701</v>
      </c>
      <c r="T266" t="str">
        <f t="shared" si="32"/>
        <v>UP</v>
      </c>
      <c r="U266">
        <v>1.1677999496459901</v>
      </c>
      <c r="V266" t="str">
        <f t="shared" si="39"/>
        <v>UP</v>
      </c>
      <c r="W266">
        <v>1.1682000160217201</v>
      </c>
      <c r="X266" t="str">
        <f t="shared" si="33"/>
        <v>UP</v>
      </c>
      <c r="Y266">
        <v>1.1684000492095901</v>
      </c>
      <c r="Z266" t="str">
        <f t="shared" si="34"/>
        <v>UP</v>
      </c>
      <c r="AA266">
        <v>0</v>
      </c>
      <c r="AB266">
        <v>0</v>
      </c>
      <c r="AC266">
        <v>0</v>
      </c>
      <c r="AD266">
        <v>0</v>
      </c>
    </row>
    <row r="267" spans="1:30" hidden="1" x14ac:dyDescent="0.35">
      <c r="A267" s="2">
        <v>45891</v>
      </c>
      <c r="B267" t="s">
        <v>22</v>
      </c>
      <c r="C267">
        <v>1.16914999485015</v>
      </c>
      <c r="D267">
        <v>1.16945004463195</v>
      </c>
      <c r="E267">
        <v>1.1690000295639</v>
      </c>
      <c r="F267">
        <v>1.1690000295639</v>
      </c>
      <c r="G267">
        <v>120</v>
      </c>
      <c r="H267">
        <v>1.16828999519348</v>
      </c>
      <c r="I267">
        <v>3.09991836547895E-4</v>
      </c>
      <c r="J267" t="str">
        <f t="shared" si="35"/>
        <v>UP</v>
      </c>
      <c r="K267">
        <v>1.1712739992141701</v>
      </c>
      <c r="L267" s="1">
        <v>-3.0000209808367298E-5</v>
      </c>
      <c r="M267" t="str">
        <f t="shared" si="36"/>
        <v>DOWN</v>
      </c>
      <c r="N267">
        <v>-2.98400402069076E-3</v>
      </c>
      <c r="O267" t="str">
        <f t="shared" si="37"/>
        <v>DOWN</v>
      </c>
      <c r="P267">
        <v>48.284832732523</v>
      </c>
      <c r="Q267">
        <v>2.9311719617272298</v>
      </c>
      <c r="R267" t="str">
        <f t="shared" si="38"/>
        <v>UP</v>
      </c>
      <c r="S267">
        <v>1.1678999662399201</v>
      </c>
      <c r="T267" t="str">
        <f t="shared" si="32"/>
        <v>UP</v>
      </c>
      <c r="U267">
        <v>1.1677500009536701</v>
      </c>
      <c r="V267" t="str">
        <f t="shared" si="39"/>
        <v>UP</v>
      </c>
      <c r="W267">
        <v>1.16879999637603</v>
      </c>
      <c r="X267" t="str">
        <f t="shared" si="33"/>
        <v>UP</v>
      </c>
      <c r="Y267">
        <v>1.1682000160217201</v>
      </c>
      <c r="Z267" t="str">
        <f t="shared" si="34"/>
        <v>UP</v>
      </c>
      <c r="AA267">
        <v>0</v>
      </c>
      <c r="AB267">
        <v>0</v>
      </c>
      <c r="AC267">
        <v>0</v>
      </c>
      <c r="AD267">
        <v>0</v>
      </c>
    </row>
    <row r="268" spans="1:30" hidden="1" x14ac:dyDescent="0.35">
      <c r="A268" s="2">
        <v>45891</v>
      </c>
      <c r="B268" t="s">
        <v>23</v>
      </c>
      <c r="C268">
        <v>1.1680999994277901</v>
      </c>
      <c r="D268">
        <v>1.17005002498626</v>
      </c>
      <c r="E268">
        <v>1.1679999828338601</v>
      </c>
      <c r="F268">
        <v>1.16960000991821</v>
      </c>
      <c r="G268">
        <v>82</v>
      </c>
      <c r="H268">
        <v>1.16829998493194</v>
      </c>
      <c r="I268" s="1">
        <v>9.9897384642222403E-6</v>
      </c>
      <c r="J268" t="str">
        <f t="shared" si="35"/>
        <v>UP</v>
      </c>
      <c r="K268">
        <v>1.1712010002136199</v>
      </c>
      <c r="L268" s="1">
        <v>-7.2999000549245298E-5</v>
      </c>
      <c r="M268" t="str">
        <f t="shared" si="36"/>
        <v>DOWN</v>
      </c>
      <c r="N268">
        <v>-2.9010152816772898E-3</v>
      </c>
      <c r="O268" t="str">
        <f t="shared" si="37"/>
        <v>DOWN</v>
      </c>
      <c r="P268">
        <v>42.5499526811439</v>
      </c>
      <c r="Q268">
        <v>-5.7348800513790898</v>
      </c>
      <c r="R268" t="str">
        <f t="shared" si="38"/>
        <v>DOWN</v>
      </c>
      <c r="S268">
        <v>1.1690000295639</v>
      </c>
      <c r="T268" t="str">
        <f t="shared" si="32"/>
        <v>DOWN</v>
      </c>
      <c r="U268">
        <v>1.1678999662399201</v>
      </c>
      <c r="V268" t="str">
        <f t="shared" si="39"/>
        <v>UP</v>
      </c>
      <c r="W268">
        <v>1.16945004463195</v>
      </c>
      <c r="X268" t="str">
        <f t="shared" si="33"/>
        <v>UP</v>
      </c>
      <c r="Y268">
        <v>1.16879999637603</v>
      </c>
      <c r="Z268" t="str">
        <f t="shared" si="34"/>
        <v>UP</v>
      </c>
      <c r="AA268">
        <v>0</v>
      </c>
      <c r="AB268">
        <v>0</v>
      </c>
      <c r="AC268">
        <v>0</v>
      </c>
      <c r="AD268">
        <v>0</v>
      </c>
    </row>
    <row r="269" spans="1:30" hidden="1" x14ac:dyDescent="0.35">
      <c r="A269" s="2">
        <v>45891</v>
      </c>
      <c r="B269" t="s">
        <v>24</v>
      </c>
      <c r="C269">
        <v>1.1799499988555899</v>
      </c>
      <c r="D269">
        <v>1.1800999641418399</v>
      </c>
      <c r="E269">
        <v>1.16929996013641</v>
      </c>
      <c r="F269">
        <v>1.16929996013641</v>
      </c>
      <c r="G269">
        <v>3441</v>
      </c>
      <c r="H269">
        <v>1.1707299947738601</v>
      </c>
      <c r="I269">
        <v>2.4300098419189802E-3</v>
      </c>
      <c r="J269" t="str">
        <f t="shared" si="35"/>
        <v>UP</v>
      </c>
      <c r="K269">
        <v>1.17135699987411</v>
      </c>
      <c r="L269">
        <v>1.5599966049184501E-4</v>
      </c>
      <c r="M269" t="str">
        <f t="shared" si="36"/>
        <v>UP</v>
      </c>
      <c r="N269">
        <v>-6.27005100250155E-4</v>
      </c>
      <c r="O269" t="str">
        <f t="shared" si="37"/>
        <v>DOWN</v>
      </c>
      <c r="P269">
        <v>76.489021386265506</v>
      </c>
      <c r="Q269">
        <v>33.939068705121599</v>
      </c>
      <c r="R269" t="str">
        <f t="shared" si="38"/>
        <v>UP</v>
      </c>
      <c r="S269">
        <v>1.1679999828338601</v>
      </c>
      <c r="T269" t="str">
        <f t="shared" si="32"/>
        <v>UP</v>
      </c>
      <c r="U269">
        <v>1.1690000295639</v>
      </c>
      <c r="V269" t="str">
        <f t="shared" si="39"/>
        <v>UP</v>
      </c>
      <c r="W269">
        <v>1.17005002498626</v>
      </c>
      <c r="X269" t="str">
        <f t="shared" si="33"/>
        <v>UP</v>
      </c>
      <c r="Y269">
        <v>1.16945004463195</v>
      </c>
      <c r="Z269" t="str">
        <f t="shared" si="34"/>
        <v>UP</v>
      </c>
      <c r="AA269">
        <v>0</v>
      </c>
      <c r="AB269">
        <v>0</v>
      </c>
      <c r="AC269">
        <v>1</v>
      </c>
      <c r="AD269">
        <v>0</v>
      </c>
    </row>
    <row r="270" spans="1:30" hidden="1" x14ac:dyDescent="0.35">
      <c r="A270" s="2">
        <v>45891</v>
      </c>
      <c r="B270" t="s">
        <v>25</v>
      </c>
      <c r="C270">
        <v>1.17949998378753</v>
      </c>
      <c r="D270">
        <v>1.1812499761581401</v>
      </c>
      <c r="E270">
        <v>1.17949998378753</v>
      </c>
      <c r="F270">
        <v>1.1799999475479099</v>
      </c>
      <c r="G270">
        <v>182</v>
      </c>
      <c r="H270">
        <v>1.17307999134063</v>
      </c>
      <c r="I270">
        <v>2.34999656677237E-3</v>
      </c>
      <c r="J270" t="str">
        <f t="shared" si="35"/>
        <v>UP</v>
      </c>
      <c r="K270">
        <v>1.1714999985694801</v>
      </c>
      <c r="L270">
        <v>1.42998695373597E-4</v>
      </c>
      <c r="M270" t="str">
        <f t="shared" si="36"/>
        <v>UP</v>
      </c>
      <c r="N270">
        <v>1.5799927711486099E-3</v>
      </c>
      <c r="O270" t="str">
        <f t="shared" si="37"/>
        <v>UP</v>
      </c>
      <c r="P270">
        <v>74.684616091238297</v>
      </c>
      <c r="Q270">
        <v>-1.80440529502722</v>
      </c>
      <c r="R270" t="str">
        <f t="shared" si="38"/>
        <v>DOWN</v>
      </c>
      <c r="S270">
        <v>1.16929996013641</v>
      </c>
      <c r="T270" t="str">
        <f t="shared" si="32"/>
        <v>UP</v>
      </c>
      <c r="U270">
        <v>1.1679999828338601</v>
      </c>
      <c r="V270" t="str">
        <f t="shared" si="39"/>
        <v>UP</v>
      </c>
      <c r="W270">
        <v>1.1800999641418399</v>
      </c>
      <c r="X270" t="str">
        <f t="shared" si="33"/>
        <v>UP</v>
      </c>
      <c r="Y270">
        <v>1.17005002498626</v>
      </c>
      <c r="Z270" t="str">
        <f t="shared" si="34"/>
        <v>UP</v>
      </c>
      <c r="AA270">
        <v>0</v>
      </c>
      <c r="AB270">
        <v>0</v>
      </c>
      <c r="AC270">
        <v>0</v>
      </c>
      <c r="AD270">
        <v>0</v>
      </c>
    </row>
    <row r="271" spans="1:30" hidden="1" x14ac:dyDescent="0.35">
      <c r="A271" s="2">
        <v>45891</v>
      </c>
      <c r="B271" t="s">
        <v>26</v>
      </c>
      <c r="C271">
        <v>1.1802999973297099</v>
      </c>
      <c r="D271">
        <v>1.1806499958038299</v>
      </c>
      <c r="E271">
        <v>1.17960000038146</v>
      </c>
      <c r="F271">
        <v>1.1796499490737899</v>
      </c>
      <c r="G271">
        <v>533</v>
      </c>
      <c r="H271">
        <v>1.1753999948501499</v>
      </c>
      <c r="I271">
        <v>2.3200035095216598E-3</v>
      </c>
      <c r="J271" t="str">
        <f t="shared" si="35"/>
        <v>UP</v>
      </c>
      <c r="K271">
        <v>1.1716709995269701</v>
      </c>
      <c r="L271">
        <v>1.7100095748912001E-4</v>
      </c>
      <c r="M271" t="str">
        <f t="shared" si="36"/>
        <v>UP</v>
      </c>
      <c r="N271">
        <v>3.7289953231811599E-3</v>
      </c>
      <c r="O271" t="str">
        <f t="shared" si="37"/>
        <v>UP</v>
      </c>
      <c r="P271">
        <v>75.778547610413597</v>
      </c>
      <c r="Q271">
        <v>1.0939315191752399</v>
      </c>
      <c r="R271" t="str">
        <f t="shared" si="38"/>
        <v>UP</v>
      </c>
      <c r="S271">
        <v>1.17949998378753</v>
      </c>
      <c r="T271" t="str">
        <f t="shared" si="32"/>
        <v>UP</v>
      </c>
      <c r="U271">
        <v>1.16929996013641</v>
      </c>
      <c r="V271" t="str">
        <f t="shared" si="39"/>
        <v>UP</v>
      </c>
      <c r="W271">
        <v>1.1812499761581401</v>
      </c>
      <c r="X271" t="str">
        <f t="shared" si="33"/>
        <v>DOWN</v>
      </c>
      <c r="Y271">
        <v>1.1800999641418399</v>
      </c>
      <c r="Z271" t="str">
        <f t="shared" si="34"/>
        <v>UP</v>
      </c>
      <c r="AA271">
        <v>0</v>
      </c>
      <c r="AB271">
        <v>0</v>
      </c>
      <c r="AC271">
        <v>0</v>
      </c>
      <c r="AD271">
        <v>0</v>
      </c>
    </row>
    <row r="272" spans="1:30" hidden="1" x14ac:dyDescent="0.35">
      <c r="A272" s="2">
        <v>45891</v>
      </c>
      <c r="B272" t="s">
        <v>27</v>
      </c>
      <c r="C272">
        <v>1.18225002288818</v>
      </c>
      <c r="D272">
        <v>1.1822999715805</v>
      </c>
      <c r="E272">
        <v>1.1805000305175699</v>
      </c>
      <c r="F272">
        <v>1.1805000305175699</v>
      </c>
      <c r="G272">
        <v>352</v>
      </c>
      <c r="H272">
        <v>1.1780200004577599</v>
      </c>
      <c r="I272">
        <v>2.6200056076048899E-3</v>
      </c>
      <c r="J272" t="str">
        <f t="shared" si="35"/>
        <v>UP</v>
      </c>
      <c r="K272">
        <v>1.17186899900436</v>
      </c>
      <c r="L272">
        <v>1.97999477386412E-4</v>
      </c>
      <c r="M272" t="str">
        <f t="shared" si="36"/>
        <v>UP</v>
      </c>
      <c r="N272">
        <v>6.1510014533996396E-3</v>
      </c>
      <c r="O272" t="str">
        <f t="shared" si="37"/>
        <v>UP</v>
      </c>
      <c r="P272">
        <v>78.246120472801394</v>
      </c>
      <c r="Q272">
        <v>2.4675728623877902</v>
      </c>
      <c r="R272" t="str">
        <f t="shared" si="38"/>
        <v>UP</v>
      </c>
      <c r="S272">
        <v>1.17960000038146</v>
      </c>
      <c r="T272" t="str">
        <f t="shared" si="32"/>
        <v>UP</v>
      </c>
      <c r="U272">
        <v>1.17949998378753</v>
      </c>
      <c r="V272" t="str">
        <f t="shared" si="39"/>
        <v>UP</v>
      </c>
      <c r="W272">
        <v>1.1806499958038299</v>
      </c>
      <c r="X272" t="str">
        <f t="shared" si="33"/>
        <v>UP</v>
      </c>
      <c r="Y272">
        <v>1.1812499761581401</v>
      </c>
      <c r="Z272" t="str">
        <f t="shared" si="34"/>
        <v>UP</v>
      </c>
      <c r="AA272">
        <v>1</v>
      </c>
      <c r="AB272">
        <v>0</v>
      </c>
      <c r="AC272">
        <v>1</v>
      </c>
      <c r="AD272">
        <v>0</v>
      </c>
    </row>
    <row r="273" spans="1:30" hidden="1" x14ac:dyDescent="0.35">
      <c r="A273" s="2">
        <v>45891</v>
      </c>
      <c r="B273" t="s">
        <v>38</v>
      </c>
      <c r="C273">
        <v>1.1805000305175699</v>
      </c>
      <c r="D273">
        <v>1.1818499565124501</v>
      </c>
      <c r="E273">
        <v>1.1805000305175699</v>
      </c>
      <c r="F273">
        <v>1.1818000078201201</v>
      </c>
      <c r="G273">
        <v>41</v>
      </c>
      <c r="H273">
        <v>1.1805000066757201</v>
      </c>
      <c r="I273">
        <v>2.4800062179566301E-3</v>
      </c>
      <c r="J273" t="str">
        <f t="shared" si="35"/>
        <v>UP</v>
      </c>
      <c r="K273">
        <v>1.17203700065612</v>
      </c>
      <c r="L273">
        <v>1.6800165176400399E-4</v>
      </c>
      <c r="M273" t="str">
        <f t="shared" si="36"/>
        <v>UP</v>
      </c>
      <c r="N273">
        <v>8.4630060195922605E-3</v>
      </c>
      <c r="O273" t="str">
        <f t="shared" si="37"/>
        <v>UP</v>
      </c>
      <c r="P273">
        <v>71.232701930914402</v>
      </c>
      <c r="Q273">
        <v>-7.0134185418869599</v>
      </c>
      <c r="R273" t="str">
        <f t="shared" si="38"/>
        <v>DOWN</v>
      </c>
      <c r="S273">
        <v>1.1805000305175699</v>
      </c>
      <c r="T273" t="str">
        <f t="shared" si="32"/>
        <v>UP</v>
      </c>
      <c r="U273">
        <v>1.17960000038146</v>
      </c>
      <c r="V273" t="str">
        <f t="shared" si="39"/>
        <v>UP</v>
      </c>
      <c r="W273">
        <v>1.1822999715805</v>
      </c>
      <c r="X273" t="str">
        <f t="shared" si="33"/>
        <v>DOWN</v>
      </c>
      <c r="Y273">
        <v>1.1806499958038299</v>
      </c>
      <c r="Z273" t="str">
        <f t="shared" si="34"/>
        <v>UP</v>
      </c>
      <c r="AA273">
        <v>0</v>
      </c>
      <c r="AB273">
        <v>0</v>
      </c>
      <c r="AC273">
        <v>0</v>
      </c>
      <c r="AD273">
        <v>0</v>
      </c>
    </row>
    <row r="274" spans="1:30" hidden="1" x14ac:dyDescent="0.35">
      <c r="A274" s="2">
        <v>45891</v>
      </c>
      <c r="B274" t="s">
        <v>28</v>
      </c>
      <c r="C274">
        <v>1.1800500154495199</v>
      </c>
      <c r="D274">
        <v>1.1800999641418399</v>
      </c>
      <c r="E274">
        <v>1.1798000335693299</v>
      </c>
      <c r="F274">
        <v>1.1800500154495199</v>
      </c>
      <c r="G274">
        <v>13</v>
      </c>
      <c r="H274">
        <v>1.1805200099944999</v>
      </c>
      <c r="I274" s="1">
        <v>2.0003318786487799E-5</v>
      </c>
      <c r="J274" t="str">
        <f t="shared" si="35"/>
        <v>UP</v>
      </c>
      <c r="K274">
        <v>1.1721810007095299</v>
      </c>
      <c r="L274">
        <v>1.4400005340564601E-4</v>
      </c>
      <c r="M274" t="str">
        <f t="shared" si="36"/>
        <v>UP</v>
      </c>
      <c r="N274">
        <v>8.3390092849731003E-3</v>
      </c>
      <c r="O274" t="str">
        <f t="shared" si="37"/>
        <v>UP</v>
      </c>
      <c r="P274">
        <v>69.507367196631805</v>
      </c>
      <c r="Q274">
        <v>-1.72533473428259</v>
      </c>
      <c r="R274" t="str">
        <f t="shared" si="38"/>
        <v>DOWN</v>
      </c>
      <c r="S274">
        <v>1.1805000305175699</v>
      </c>
      <c r="T274" t="str">
        <f t="shared" si="32"/>
        <v>DOWN</v>
      </c>
      <c r="U274">
        <v>1.1805000305175699</v>
      </c>
      <c r="V274" t="str">
        <f t="shared" si="39"/>
        <v>DOWN</v>
      </c>
      <c r="W274">
        <v>1.1818499565124501</v>
      </c>
      <c r="X274" t="str">
        <f t="shared" si="33"/>
        <v>DOWN</v>
      </c>
      <c r="Y274">
        <v>1.1822999715805</v>
      </c>
      <c r="Z274" t="str">
        <f t="shared" si="34"/>
        <v>DOWN</v>
      </c>
      <c r="AA274">
        <v>0</v>
      </c>
      <c r="AB274">
        <v>0</v>
      </c>
      <c r="AC274">
        <v>0</v>
      </c>
      <c r="AD274">
        <v>0</v>
      </c>
    </row>
    <row r="275" spans="1:30" hidden="1" x14ac:dyDescent="0.35">
      <c r="A275" s="2">
        <v>45891</v>
      </c>
      <c r="B275" t="s">
        <v>39</v>
      </c>
      <c r="C275">
        <v>1.1803499460220299</v>
      </c>
      <c r="D275">
        <v>1.1808999776840201</v>
      </c>
      <c r="E275">
        <v>1.1801999807357699</v>
      </c>
      <c r="F275">
        <v>1.1801999807357699</v>
      </c>
      <c r="G275">
        <v>37</v>
      </c>
      <c r="H275">
        <v>1.1806900024414</v>
      </c>
      <c r="I275">
        <v>1.6999244689941401E-4</v>
      </c>
      <c r="J275" t="str">
        <f t="shared" si="35"/>
        <v>UP</v>
      </c>
      <c r="K275">
        <v>1.17232199907302</v>
      </c>
      <c r="L275">
        <v>1.40998363494793E-4</v>
      </c>
      <c r="M275" t="str">
        <f t="shared" si="36"/>
        <v>UP</v>
      </c>
      <c r="N275">
        <v>8.36800336837773E-3</v>
      </c>
      <c r="O275" t="str">
        <f t="shared" si="37"/>
        <v>UP</v>
      </c>
      <c r="P275">
        <v>70.028420251315296</v>
      </c>
      <c r="Q275">
        <v>0.52105305468350505</v>
      </c>
      <c r="R275" t="str">
        <f t="shared" si="38"/>
        <v>UP</v>
      </c>
      <c r="S275">
        <v>1.1798000335693299</v>
      </c>
      <c r="T275" t="str">
        <f t="shared" si="32"/>
        <v>UP</v>
      </c>
      <c r="U275">
        <v>1.1805000305175699</v>
      </c>
      <c r="V275" t="str">
        <f t="shared" si="39"/>
        <v>DOWN</v>
      </c>
      <c r="W275">
        <v>1.1800999641418399</v>
      </c>
      <c r="X275" t="str">
        <f t="shared" si="33"/>
        <v>UP</v>
      </c>
      <c r="Y275">
        <v>1.1818499565124501</v>
      </c>
      <c r="Z275" t="str">
        <f t="shared" si="34"/>
        <v>DOWN</v>
      </c>
      <c r="AA275">
        <v>0</v>
      </c>
      <c r="AB275">
        <v>0</v>
      </c>
      <c r="AC275">
        <v>0</v>
      </c>
      <c r="AD275">
        <v>0</v>
      </c>
    </row>
    <row r="276" spans="1:30" hidden="1" x14ac:dyDescent="0.35">
      <c r="A276" s="2">
        <v>45893</v>
      </c>
      <c r="B276" t="s">
        <v>40</v>
      </c>
      <c r="C276">
        <v>1.1793999671936</v>
      </c>
      <c r="D276">
        <v>1.1803499460220299</v>
      </c>
      <c r="E276">
        <v>1.1793999671936</v>
      </c>
      <c r="F276">
        <v>1.1799999475479099</v>
      </c>
      <c r="G276">
        <v>25</v>
      </c>
      <c r="H276">
        <v>1.1805099964141801</v>
      </c>
      <c r="I276">
        <v>-1.8000602722167901E-4</v>
      </c>
      <c r="J276" t="str">
        <f t="shared" si="35"/>
        <v>DOWN</v>
      </c>
      <c r="K276">
        <v>1.1724569988250699</v>
      </c>
      <c r="L276">
        <v>1.3499975204478399E-4</v>
      </c>
      <c r="M276" t="str">
        <f t="shared" si="36"/>
        <v>UP</v>
      </c>
      <c r="N276">
        <v>8.0529975891112607E-3</v>
      </c>
      <c r="O276" t="str">
        <f t="shared" si="37"/>
        <v>UP</v>
      </c>
      <c r="P276">
        <v>66.171540144979602</v>
      </c>
      <c r="Q276">
        <v>-3.8568801063356601</v>
      </c>
      <c r="R276" t="str">
        <f t="shared" si="38"/>
        <v>DOWN</v>
      </c>
      <c r="S276">
        <v>1.1801999807357699</v>
      </c>
      <c r="T276" t="str">
        <f t="shared" si="32"/>
        <v>DOWN</v>
      </c>
      <c r="U276">
        <v>1.1798000335693299</v>
      </c>
      <c r="V276" t="str">
        <f t="shared" si="39"/>
        <v>DOWN</v>
      </c>
      <c r="W276">
        <v>1.1808999776840201</v>
      </c>
      <c r="X276" t="str">
        <f t="shared" si="33"/>
        <v>DOWN</v>
      </c>
      <c r="Y276">
        <v>1.1800999641418399</v>
      </c>
      <c r="Z276" t="str">
        <f t="shared" si="34"/>
        <v>UP</v>
      </c>
      <c r="AA276">
        <v>1</v>
      </c>
      <c r="AB276">
        <v>0</v>
      </c>
      <c r="AC276">
        <v>0</v>
      </c>
      <c r="AD276">
        <v>0</v>
      </c>
    </row>
    <row r="277" spans="1:30" hidden="1" x14ac:dyDescent="0.35">
      <c r="A277" s="2">
        <v>45893</v>
      </c>
      <c r="B277" t="s">
        <v>42</v>
      </c>
      <c r="C277">
        <v>1.17910003662109</v>
      </c>
      <c r="D277">
        <v>1.17945003509521</v>
      </c>
      <c r="E277">
        <v>1.17900002002716</v>
      </c>
      <c r="F277">
        <v>1.17945003509521</v>
      </c>
      <c r="G277">
        <v>23</v>
      </c>
      <c r="H277">
        <v>1.17987999916076</v>
      </c>
      <c r="I277">
        <v>-6.2999725341783498E-4</v>
      </c>
      <c r="J277" t="str">
        <f t="shared" si="35"/>
        <v>DOWN</v>
      </c>
      <c r="K277">
        <v>1.1725239992141701</v>
      </c>
      <c r="L277" s="1">
        <v>6.7000389099014499E-5</v>
      </c>
      <c r="M277" t="str">
        <f t="shared" si="36"/>
        <v>UP</v>
      </c>
      <c r="N277">
        <v>7.3559999465944098E-3</v>
      </c>
      <c r="O277" t="str">
        <f t="shared" si="37"/>
        <v>UP</v>
      </c>
      <c r="P277">
        <v>64.955166496461601</v>
      </c>
      <c r="Q277">
        <v>-1.2163736485180401</v>
      </c>
      <c r="R277" t="str">
        <f t="shared" si="38"/>
        <v>DOWN</v>
      </c>
      <c r="S277">
        <v>1.1793999671936</v>
      </c>
      <c r="T277" t="str">
        <f t="shared" si="32"/>
        <v>DOWN</v>
      </c>
      <c r="U277">
        <v>1.1801999807357699</v>
      </c>
      <c r="V277" t="str">
        <f t="shared" si="39"/>
        <v>DOWN</v>
      </c>
      <c r="W277">
        <v>1.1803499460220299</v>
      </c>
      <c r="X277" t="str">
        <f t="shared" si="33"/>
        <v>DOWN</v>
      </c>
      <c r="Y277">
        <v>1.1808999776840201</v>
      </c>
      <c r="Z277" t="str">
        <f t="shared" si="34"/>
        <v>DOWN</v>
      </c>
      <c r="AA277">
        <v>0</v>
      </c>
      <c r="AB277">
        <v>1</v>
      </c>
      <c r="AC277">
        <v>0</v>
      </c>
      <c r="AD277">
        <v>0</v>
      </c>
    </row>
    <row r="278" spans="1:30" hidden="1" x14ac:dyDescent="0.35">
      <c r="A278" s="2">
        <v>45894</v>
      </c>
      <c r="B278" t="s">
        <v>29</v>
      </c>
      <c r="C278">
        <v>1.17774999141693</v>
      </c>
      <c r="D278">
        <v>1.17820000648498</v>
      </c>
      <c r="E278">
        <v>1.1777000427246</v>
      </c>
      <c r="F278">
        <v>1.17809998989105</v>
      </c>
      <c r="G278">
        <v>58</v>
      </c>
      <c r="H278">
        <v>1.1793299913406301</v>
      </c>
      <c r="I278">
        <v>-5.5000782012948302E-4</v>
      </c>
      <c r="J278" t="str">
        <f t="shared" si="35"/>
        <v>DOWN</v>
      </c>
      <c r="K278">
        <v>1.1725919985771101</v>
      </c>
      <c r="L278" s="1">
        <v>6.7999362945547705E-5</v>
      </c>
      <c r="M278" t="str">
        <f t="shared" si="36"/>
        <v>UP</v>
      </c>
      <c r="N278">
        <v>6.7379927635193796E-3</v>
      </c>
      <c r="O278" t="str">
        <f t="shared" si="37"/>
        <v>UP</v>
      </c>
      <c r="P278">
        <v>59.640800268341003</v>
      </c>
      <c r="Q278">
        <v>-5.3143662281205604</v>
      </c>
      <c r="R278" t="str">
        <f t="shared" si="38"/>
        <v>DOWN</v>
      </c>
      <c r="S278">
        <v>1.17900002002716</v>
      </c>
      <c r="T278" t="str">
        <f t="shared" si="32"/>
        <v>DOWN</v>
      </c>
      <c r="U278">
        <v>1.1793999671936</v>
      </c>
      <c r="V278" t="str">
        <f t="shared" si="39"/>
        <v>DOWN</v>
      </c>
      <c r="W278">
        <v>1.17945003509521</v>
      </c>
      <c r="X278" t="str">
        <f t="shared" si="33"/>
        <v>DOWN</v>
      </c>
      <c r="Y278">
        <v>1.1803499460220299</v>
      </c>
      <c r="Z278" t="str">
        <f t="shared" si="34"/>
        <v>DOWN</v>
      </c>
      <c r="AA278">
        <v>0</v>
      </c>
      <c r="AB278">
        <v>0</v>
      </c>
      <c r="AC278">
        <v>0</v>
      </c>
      <c r="AD278">
        <v>0</v>
      </c>
    </row>
    <row r="279" spans="1:30" hidden="1" x14ac:dyDescent="0.35">
      <c r="A279" s="2">
        <v>45894</v>
      </c>
      <c r="B279" t="s">
        <v>30</v>
      </c>
      <c r="C279">
        <v>1.1776000261306701</v>
      </c>
      <c r="D279">
        <v>1.17840003967285</v>
      </c>
      <c r="E279">
        <v>1.1775000095367401</v>
      </c>
      <c r="F279">
        <v>1.17809998989105</v>
      </c>
      <c r="G279">
        <v>44</v>
      </c>
      <c r="H279">
        <v>1.1788399934768601</v>
      </c>
      <c r="I279">
        <v>-4.8999786376957501E-4</v>
      </c>
      <c r="J279" t="str">
        <f t="shared" si="35"/>
        <v>DOWN</v>
      </c>
      <c r="K279">
        <v>1.1726440000534</v>
      </c>
      <c r="L279" s="1">
        <v>5.2001476287921699E-5</v>
      </c>
      <c r="M279" t="str">
        <f t="shared" si="36"/>
        <v>UP</v>
      </c>
      <c r="N279">
        <v>6.1959934234618796E-3</v>
      </c>
      <c r="O279" t="str">
        <f t="shared" si="37"/>
        <v>UP</v>
      </c>
      <c r="P279">
        <v>59.062732930153601</v>
      </c>
      <c r="Q279">
        <v>-0.57806733818745903</v>
      </c>
      <c r="R279" t="str">
        <f t="shared" si="38"/>
        <v>DOWN</v>
      </c>
      <c r="S279">
        <v>1.1777000427246</v>
      </c>
      <c r="T279" t="str">
        <f t="shared" si="32"/>
        <v>DOWN</v>
      </c>
      <c r="U279">
        <v>1.17900002002716</v>
      </c>
      <c r="V279" t="str">
        <f t="shared" si="39"/>
        <v>DOWN</v>
      </c>
      <c r="W279">
        <v>1.17820000648498</v>
      </c>
      <c r="X279" t="str">
        <f t="shared" si="33"/>
        <v>UP</v>
      </c>
      <c r="Y279">
        <v>1.17945003509521</v>
      </c>
      <c r="Z279" t="str">
        <f t="shared" si="34"/>
        <v>DOWN</v>
      </c>
      <c r="AA279">
        <v>0</v>
      </c>
      <c r="AB279">
        <v>0</v>
      </c>
      <c r="AC279">
        <v>0</v>
      </c>
      <c r="AD279">
        <v>0</v>
      </c>
    </row>
    <row r="280" spans="1:30" hidden="1" x14ac:dyDescent="0.35">
      <c r="A280" s="2">
        <v>45894</v>
      </c>
      <c r="B280" t="s">
        <v>31</v>
      </c>
      <c r="C280">
        <v>1.17799997329711</v>
      </c>
      <c r="D280">
        <v>1.17799997329711</v>
      </c>
      <c r="E280">
        <v>1.17785000801086</v>
      </c>
      <c r="F280">
        <v>1.17785000801086</v>
      </c>
      <c r="G280">
        <v>21</v>
      </c>
      <c r="H280">
        <v>1.1783699989318801</v>
      </c>
      <c r="I280">
        <v>-4.6999454498286499E-4</v>
      </c>
      <c r="J280" t="str">
        <f t="shared" si="35"/>
        <v>DOWN</v>
      </c>
      <c r="K280">
        <v>1.1727419996261499</v>
      </c>
      <c r="L280" s="1">
        <v>9.7999572753915105E-5</v>
      </c>
      <c r="M280" t="str">
        <f t="shared" si="36"/>
        <v>UP</v>
      </c>
      <c r="N280">
        <v>5.6279993057250996E-3</v>
      </c>
      <c r="O280" t="str">
        <f t="shared" si="37"/>
        <v>UP</v>
      </c>
      <c r="P280">
        <v>60.171463159004198</v>
      </c>
      <c r="Q280">
        <v>1.10873022885062</v>
      </c>
      <c r="R280" t="str">
        <f t="shared" si="38"/>
        <v>UP</v>
      </c>
      <c r="S280">
        <v>1.1775000095367401</v>
      </c>
      <c r="T280" t="str">
        <f t="shared" si="32"/>
        <v>UP</v>
      </c>
      <c r="U280">
        <v>1.1777000427246</v>
      </c>
      <c r="V280" t="str">
        <f t="shared" si="39"/>
        <v>UP</v>
      </c>
      <c r="W280">
        <v>1.17840003967285</v>
      </c>
      <c r="X280" t="str">
        <f t="shared" si="33"/>
        <v>DOWN</v>
      </c>
      <c r="Y280">
        <v>1.17820000648498</v>
      </c>
      <c r="Z280" t="str">
        <f t="shared" si="34"/>
        <v>DOWN</v>
      </c>
      <c r="AA280">
        <v>0</v>
      </c>
      <c r="AB280">
        <v>0</v>
      </c>
      <c r="AC280">
        <v>0</v>
      </c>
      <c r="AD280">
        <v>0</v>
      </c>
    </row>
    <row r="281" spans="1:30" hidden="1" x14ac:dyDescent="0.35">
      <c r="A281" s="2">
        <v>45894</v>
      </c>
      <c r="B281" t="s">
        <v>32</v>
      </c>
      <c r="C281">
        <v>1.1788500547409</v>
      </c>
      <c r="D281">
        <v>1.1788500547409</v>
      </c>
      <c r="E281">
        <v>1.17805004119873</v>
      </c>
      <c r="F281">
        <v>1.17805004119873</v>
      </c>
      <c r="G281">
        <v>55</v>
      </c>
      <c r="H281">
        <v>1.1782600164413399</v>
      </c>
      <c r="I281">
        <v>-1.0998249053950601E-4</v>
      </c>
      <c r="J281" t="str">
        <f t="shared" si="35"/>
        <v>DOWN</v>
      </c>
      <c r="K281">
        <v>1.17283400058746</v>
      </c>
      <c r="L281" s="1">
        <v>9.2000961303684197E-5</v>
      </c>
      <c r="M281" t="str">
        <f t="shared" si="36"/>
        <v>UP</v>
      </c>
      <c r="N281">
        <v>5.4260158538819098E-3</v>
      </c>
      <c r="O281" t="str">
        <f t="shared" si="37"/>
        <v>UP</v>
      </c>
      <c r="P281">
        <v>62.496457648814697</v>
      </c>
      <c r="Q281">
        <v>2.3249944898105301</v>
      </c>
      <c r="R281" t="str">
        <f t="shared" si="38"/>
        <v>UP</v>
      </c>
      <c r="S281">
        <v>1.17785000801086</v>
      </c>
      <c r="T281" t="str">
        <f t="shared" si="32"/>
        <v>UP</v>
      </c>
      <c r="U281">
        <v>1.1775000095367401</v>
      </c>
      <c r="V281" t="str">
        <f t="shared" si="39"/>
        <v>UP</v>
      </c>
      <c r="W281">
        <v>1.17799997329711</v>
      </c>
      <c r="X281" t="str">
        <f t="shared" si="33"/>
        <v>UP</v>
      </c>
      <c r="Y281">
        <v>1.17840003967285</v>
      </c>
      <c r="Z281" t="str">
        <f t="shared" si="34"/>
        <v>UP</v>
      </c>
      <c r="AA281">
        <v>0</v>
      </c>
      <c r="AB281">
        <v>0</v>
      </c>
      <c r="AC281">
        <v>0</v>
      </c>
      <c r="AD281">
        <v>0</v>
      </c>
    </row>
    <row r="282" spans="1:30" hidden="1" x14ac:dyDescent="0.35">
      <c r="A282" s="2">
        <v>45894</v>
      </c>
      <c r="B282" t="s">
        <v>33</v>
      </c>
      <c r="C282">
        <v>1.17869997024536</v>
      </c>
      <c r="D282">
        <v>1.1788500547409</v>
      </c>
      <c r="E282">
        <v>1.1785500049591</v>
      </c>
      <c r="F282">
        <v>1.1785500049591</v>
      </c>
      <c r="G282">
        <v>3</v>
      </c>
      <c r="H282">
        <v>1.17818000316619</v>
      </c>
      <c r="I282" s="1">
        <v>-8.0013275146617602E-5</v>
      </c>
      <c r="J282" t="str">
        <f t="shared" si="35"/>
        <v>DOWN</v>
      </c>
      <c r="K282">
        <v>1.17289499998092</v>
      </c>
      <c r="L282" s="1">
        <v>6.0999393463267898E-5</v>
      </c>
      <c r="M282" t="str">
        <f t="shared" si="36"/>
        <v>UP</v>
      </c>
      <c r="N282">
        <v>5.2850031852720303E-3</v>
      </c>
      <c r="O282" t="str">
        <f t="shared" si="37"/>
        <v>UP</v>
      </c>
      <c r="P282">
        <v>61.810417972899501</v>
      </c>
      <c r="Q282">
        <v>-0.68603967591524595</v>
      </c>
      <c r="R282" t="str">
        <f t="shared" si="38"/>
        <v>DOWN</v>
      </c>
      <c r="S282">
        <v>1.17805004119873</v>
      </c>
      <c r="T282" t="str">
        <f t="shared" si="32"/>
        <v>UP</v>
      </c>
      <c r="U282">
        <v>1.17785000801086</v>
      </c>
      <c r="V282" t="str">
        <f t="shared" si="39"/>
        <v>UP</v>
      </c>
      <c r="W282">
        <v>1.1788500547409</v>
      </c>
      <c r="X282" t="str">
        <f t="shared" si="33"/>
        <v>DOWN</v>
      </c>
      <c r="Y282">
        <v>1.17799997329711</v>
      </c>
      <c r="Z282" t="str">
        <f t="shared" si="34"/>
        <v>UP</v>
      </c>
      <c r="AA282">
        <v>0</v>
      </c>
      <c r="AB282">
        <v>0</v>
      </c>
      <c r="AC282">
        <v>0</v>
      </c>
      <c r="AD282">
        <v>0</v>
      </c>
    </row>
    <row r="283" spans="1:30" hidden="1" x14ac:dyDescent="0.35">
      <c r="A283" s="2">
        <v>45894</v>
      </c>
      <c r="B283" t="s">
        <v>41</v>
      </c>
      <c r="C283">
        <v>1.17789995670318</v>
      </c>
      <c r="D283">
        <v>1.17834997177124</v>
      </c>
      <c r="E283">
        <v>1.17789995670318</v>
      </c>
      <c r="F283">
        <v>1.17834997177124</v>
      </c>
      <c r="G283">
        <v>44</v>
      </c>
      <c r="H283">
        <v>1.17820999622344</v>
      </c>
      <c r="I283" s="1">
        <v>2.99930572511541E-5</v>
      </c>
      <c r="J283" t="str">
        <f t="shared" si="35"/>
        <v>UP</v>
      </c>
      <c r="K283">
        <v>1.17297399997711</v>
      </c>
      <c r="L283" s="1">
        <v>7.8999996185213903E-5</v>
      </c>
      <c r="M283" t="str">
        <f t="shared" si="36"/>
        <v>UP</v>
      </c>
      <c r="N283">
        <v>5.2359962463379697E-3</v>
      </c>
      <c r="O283" t="str">
        <f t="shared" si="37"/>
        <v>UP</v>
      </c>
      <c r="P283">
        <v>58.146358256851599</v>
      </c>
      <c r="Q283">
        <v>-3.6640597160478801</v>
      </c>
      <c r="R283" t="str">
        <f t="shared" si="38"/>
        <v>DOWN</v>
      </c>
      <c r="S283">
        <v>1.1785500049591</v>
      </c>
      <c r="T283" t="str">
        <f t="shared" si="32"/>
        <v>DOWN</v>
      </c>
      <c r="U283">
        <v>1.17805004119873</v>
      </c>
      <c r="V283" t="str">
        <f t="shared" si="39"/>
        <v>DOWN</v>
      </c>
      <c r="W283">
        <v>1.1788500547409</v>
      </c>
      <c r="X283" t="str">
        <f t="shared" si="33"/>
        <v>DOWN</v>
      </c>
      <c r="Y283">
        <v>1.1788500547409</v>
      </c>
      <c r="Z283" t="str">
        <f t="shared" si="34"/>
        <v>DOWN</v>
      </c>
      <c r="AA283">
        <v>0</v>
      </c>
      <c r="AB283">
        <v>0</v>
      </c>
      <c r="AC283">
        <v>0</v>
      </c>
      <c r="AD283">
        <v>0</v>
      </c>
    </row>
    <row r="284" spans="1:30" hidden="1" x14ac:dyDescent="0.35">
      <c r="A284" s="2">
        <v>45894</v>
      </c>
      <c r="B284" t="s">
        <v>34</v>
      </c>
      <c r="C284">
        <v>1.1797000169753999</v>
      </c>
      <c r="D284">
        <v>1.1800999641418399</v>
      </c>
      <c r="E284">
        <v>1.17914998531341</v>
      </c>
      <c r="F284">
        <v>1.17914998531341</v>
      </c>
      <c r="G284">
        <v>44</v>
      </c>
      <c r="H284">
        <v>1.1786299943923899</v>
      </c>
      <c r="I284">
        <v>4.1999816894522298E-4</v>
      </c>
      <c r="J284" t="str">
        <f t="shared" si="35"/>
        <v>UP</v>
      </c>
      <c r="K284">
        <v>1.17309400081634</v>
      </c>
      <c r="L284">
        <v>1.20000839233469E-4</v>
      </c>
      <c r="M284" t="str">
        <f t="shared" si="36"/>
        <v>UP</v>
      </c>
      <c r="N284">
        <v>5.5359935760497204E-3</v>
      </c>
      <c r="O284" t="str">
        <f t="shared" si="37"/>
        <v>UP</v>
      </c>
      <c r="P284">
        <v>63.403130827322897</v>
      </c>
      <c r="Q284">
        <v>5.2567725704713402</v>
      </c>
      <c r="R284" t="str">
        <f t="shared" si="38"/>
        <v>UP</v>
      </c>
      <c r="S284">
        <v>1.17789995670318</v>
      </c>
      <c r="T284" t="str">
        <f t="shared" si="32"/>
        <v>UP</v>
      </c>
      <c r="U284">
        <v>1.1785500049591</v>
      </c>
      <c r="V284" t="str">
        <f t="shared" si="39"/>
        <v>UP</v>
      </c>
      <c r="W284">
        <v>1.17834997177124</v>
      </c>
      <c r="X284" t="str">
        <f t="shared" si="33"/>
        <v>UP</v>
      </c>
      <c r="Y284">
        <v>1.1788500547409</v>
      </c>
      <c r="Z284" t="str">
        <f t="shared" si="34"/>
        <v>UP</v>
      </c>
      <c r="AA284">
        <v>1</v>
      </c>
      <c r="AB284">
        <v>0</v>
      </c>
      <c r="AC284">
        <v>0</v>
      </c>
      <c r="AD284">
        <v>0</v>
      </c>
    </row>
    <row r="285" spans="1:30" hidden="1" x14ac:dyDescent="0.35">
      <c r="A285" s="2">
        <v>45894</v>
      </c>
      <c r="B285" t="s">
        <v>35</v>
      </c>
      <c r="C285">
        <v>1.17795002460479</v>
      </c>
      <c r="D285">
        <v>1.1798499822616499</v>
      </c>
      <c r="E285">
        <v>1.1776000261306701</v>
      </c>
      <c r="F285">
        <v>1.17949998378753</v>
      </c>
      <c r="G285">
        <v>66</v>
      </c>
      <c r="H285">
        <v>1.1786200046539299</v>
      </c>
      <c r="I285" s="1">
        <v>-9.9897384644442798E-6</v>
      </c>
      <c r="J285" t="str">
        <f t="shared" si="35"/>
        <v>DOWN</v>
      </c>
      <c r="K285">
        <v>1.17318400144577</v>
      </c>
      <c r="L285" s="1">
        <v>9.0000629424880006E-5</v>
      </c>
      <c r="M285" t="str">
        <f t="shared" si="36"/>
        <v>UP</v>
      </c>
      <c r="N285">
        <v>5.4360032081604004E-3</v>
      </c>
      <c r="O285" t="str">
        <f t="shared" si="37"/>
        <v>UP</v>
      </c>
      <c r="P285">
        <v>56.034673497143103</v>
      </c>
      <c r="Q285">
        <v>-7.3684573301798499</v>
      </c>
      <c r="R285" t="str">
        <f t="shared" si="38"/>
        <v>DOWN</v>
      </c>
      <c r="S285">
        <v>1.17914998531341</v>
      </c>
      <c r="T285" t="str">
        <f t="shared" si="32"/>
        <v>DOWN</v>
      </c>
      <c r="U285">
        <v>1.17789995670318</v>
      </c>
      <c r="V285" t="str">
        <f t="shared" si="39"/>
        <v>DOWN</v>
      </c>
      <c r="W285">
        <v>1.1800999641418399</v>
      </c>
      <c r="X285" t="str">
        <f t="shared" si="33"/>
        <v>DOWN</v>
      </c>
      <c r="Y285">
        <v>1.17834997177124</v>
      </c>
      <c r="Z285" t="str">
        <f t="shared" si="34"/>
        <v>UP</v>
      </c>
      <c r="AA285">
        <v>0</v>
      </c>
      <c r="AB285">
        <v>0</v>
      </c>
      <c r="AC285">
        <v>0</v>
      </c>
      <c r="AD285">
        <v>0</v>
      </c>
    </row>
    <row r="286" spans="1:30" hidden="1" x14ac:dyDescent="0.35">
      <c r="A286" s="2">
        <v>45894</v>
      </c>
      <c r="B286" t="s">
        <v>36</v>
      </c>
      <c r="C286">
        <v>1.17844998836517</v>
      </c>
      <c r="D286">
        <v>1.17875003814697</v>
      </c>
      <c r="E286">
        <v>1.17799997329711</v>
      </c>
      <c r="F286">
        <v>1.17799997329711</v>
      </c>
      <c r="G286">
        <v>22</v>
      </c>
      <c r="H286">
        <v>1.17853999137878</v>
      </c>
      <c r="I286" s="1">
        <v>-8.0013275146395503E-5</v>
      </c>
      <c r="J286" t="str">
        <f t="shared" si="35"/>
        <v>DOWN</v>
      </c>
      <c r="K286">
        <v>1.1732850003242401</v>
      </c>
      <c r="L286">
        <v>1.0099887847903E-4</v>
      </c>
      <c r="M286" t="str">
        <f t="shared" si="36"/>
        <v>UP</v>
      </c>
      <c r="N286">
        <v>5.2549910545349699E-3</v>
      </c>
      <c r="O286" t="str">
        <f t="shared" si="37"/>
        <v>UP</v>
      </c>
      <c r="P286">
        <v>57.552442329078303</v>
      </c>
      <c r="Q286">
        <v>1.5177688319352201</v>
      </c>
      <c r="R286" t="str">
        <f t="shared" si="38"/>
        <v>UP</v>
      </c>
      <c r="S286">
        <v>1.1776000261306701</v>
      </c>
      <c r="T286" t="str">
        <f t="shared" si="32"/>
        <v>UP</v>
      </c>
      <c r="U286">
        <v>1.17914998531341</v>
      </c>
      <c r="V286" t="str">
        <f t="shared" si="39"/>
        <v>DOWN</v>
      </c>
      <c r="W286">
        <v>1.1798499822616499</v>
      </c>
      <c r="X286" t="str">
        <f t="shared" si="33"/>
        <v>DOWN</v>
      </c>
      <c r="Y286">
        <v>1.1800999641418399</v>
      </c>
      <c r="Z286" t="str">
        <f t="shared" si="34"/>
        <v>DOWN</v>
      </c>
      <c r="AA286">
        <v>0</v>
      </c>
      <c r="AB286">
        <v>0</v>
      </c>
      <c r="AC286">
        <v>0</v>
      </c>
      <c r="AD286">
        <v>0</v>
      </c>
    </row>
    <row r="287" spans="1:30" hidden="1" x14ac:dyDescent="0.35">
      <c r="A287" s="2">
        <v>45894</v>
      </c>
      <c r="B287" t="s">
        <v>37</v>
      </c>
      <c r="C287">
        <v>1.1772500276565501</v>
      </c>
      <c r="D287">
        <v>1.1785500049591</v>
      </c>
      <c r="E287">
        <v>1.1770999431610101</v>
      </c>
      <c r="F287">
        <v>1.17834997177124</v>
      </c>
      <c r="G287">
        <v>55</v>
      </c>
      <c r="H287">
        <v>1.1782500028610201</v>
      </c>
      <c r="I287">
        <v>-2.8998851776118601E-4</v>
      </c>
      <c r="J287" t="str">
        <f t="shared" si="35"/>
        <v>DOWN</v>
      </c>
      <c r="K287">
        <v>1.1733820009231499</v>
      </c>
      <c r="L287" s="1">
        <v>9.7000598907603903E-5</v>
      </c>
      <c r="M287" t="str">
        <f t="shared" si="36"/>
        <v>UP</v>
      </c>
      <c r="N287">
        <v>4.86800193786618E-3</v>
      </c>
      <c r="O287" t="str">
        <f t="shared" si="37"/>
        <v>UP</v>
      </c>
      <c r="P287">
        <v>52.837755286773202</v>
      </c>
      <c r="Q287">
        <v>-4.7146870423051102</v>
      </c>
      <c r="R287" t="str">
        <f t="shared" si="38"/>
        <v>DOWN</v>
      </c>
      <c r="S287">
        <v>1.17799997329711</v>
      </c>
      <c r="T287" t="str">
        <f t="shared" si="32"/>
        <v>DOWN</v>
      </c>
      <c r="U287">
        <v>1.1776000261306701</v>
      </c>
      <c r="V287" t="str">
        <f t="shared" si="39"/>
        <v>DOWN</v>
      </c>
      <c r="W287">
        <v>1.17875003814697</v>
      </c>
      <c r="X287" t="str">
        <f t="shared" si="33"/>
        <v>DOWN</v>
      </c>
      <c r="Y287">
        <v>1.1798499822616499</v>
      </c>
      <c r="Z287" t="str">
        <f t="shared" si="34"/>
        <v>DOWN</v>
      </c>
      <c r="AA287">
        <v>0</v>
      </c>
      <c r="AB287">
        <v>0</v>
      </c>
      <c r="AC287">
        <v>0</v>
      </c>
      <c r="AD287">
        <v>0</v>
      </c>
    </row>
    <row r="288" spans="1:30" hidden="1" x14ac:dyDescent="0.35">
      <c r="A288" s="2">
        <v>45894</v>
      </c>
      <c r="B288" t="s">
        <v>20</v>
      </c>
      <c r="C288">
        <v>1.1768000125885001</v>
      </c>
      <c r="D288">
        <v>1.1775000095367401</v>
      </c>
      <c r="E288">
        <v>1.1766999959945601</v>
      </c>
      <c r="F288">
        <v>1.1775000095367401</v>
      </c>
      <c r="G288">
        <v>36</v>
      </c>
      <c r="H288">
        <v>1.1780300140380799</v>
      </c>
      <c r="I288">
        <v>-2.1998882293705599E-4</v>
      </c>
      <c r="J288" t="str">
        <f t="shared" si="35"/>
        <v>DOWN</v>
      </c>
      <c r="K288">
        <v>1.1734710001945401</v>
      </c>
      <c r="L288" s="1">
        <v>8.8999271392831107E-5</v>
      </c>
      <c r="M288" t="str">
        <f t="shared" si="36"/>
        <v>UP</v>
      </c>
      <c r="N288">
        <v>4.5590138435362901E-3</v>
      </c>
      <c r="O288" t="str">
        <f t="shared" si="37"/>
        <v>UP</v>
      </c>
      <c r="P288">
        <v>51.145592881416903</v>
      </c>
      <c r="Q288">
        <v>-1.69216240535629</v>
      </c>
      <c r="R288" t="str">
        <f t="shared" si="38"/>
        <v>DOWN</v>
      </c>
      <c r="S288">
        <v>1.1770999431610101</v>
      </c>
      <c r="T288" t="str">
        <f t="shared" si="32"/>
        <v>DOWN</v>
      </c>
      <c r="U288">
        <v>1.17799997329711</v>
      </c>
      <c r="V288" t="str">
        <f t="shared" si="39"/>
        <v>DOWN</v>
      </c>
      <c r="W288">
        <v>1.1785500049591</v>
      </c>
      <c r="X288" t="str">
        <f t="shared" si="33"/>
        <v>DOWN</v>
      </c>
      <c r="Y288">
        <v>1.17875003814697</v>
      </c>
      <c r="Z288" t="str">
        <f t="shared" si="34"/>
        <v>DOWN</v>
      </c>
      <c r="AA288">
        <v>0</v>
      </c>
      <c r="AB288">
        <v>0</v>
      </c>
      <c r="AC288">
        <v>0</v>
      </c>
      <c r="AD288">
        <v>0</v>
      </c>
    </row>
    <row r="289" spans="1:30" hidden="1" x14ac:dyDescent="0.35">
      <c r="A289" s="2">
        <v>45894</v>
      </c>
      <c r="B289" t="s">
        <v>21</v>
      </c>
      <c r="C289">
        <v>1.17809998989105</v>
      </c>
      <c r="D289">
        <v>1.1782499551773</v>
      </c>
      <c r="E289">
        <v>1.1773500442504801</v>
      </c>
      <c r="F289">
        <v>1.1773500442504801</v>
      </c>
      <c r="G289">
        <v>39</v>
      </c>
      <c r="H289">
        <v>1.17771000862121</v>
      </c>
      <c r="I289">
        <v>-3.20005416870161E-4</v>
      </c>
      <c r="J289" t="str">
        <f t="shared" si="35"/>
        <v>DOWN</v>
      </c>
      <c r="K289">
        <v>1.17358200073242</v>
      </c>
      <c r="L289">
        <v>1.11000537872163E-4</v>
      </c>
      <c r="M289" t="str">
        <f t="shared" si="36"/>
        <v>UP</v>
      </c>
      <c r="N289">
        <v>4.1280078887939702E-3</v>
      </c>
      <c r="O289" t="str">
        <f t="shared" si="37"/>
        <v>UP</v>
      </c>
      <c r="P289">
        <v>55.571967447066797</v>
      </c>
      <c r="Q289">
        <v>4.4263745656499198</v>
      </c>
      <c r="R289" t="str">
        <f t="shared" si="38"/>
        <v>UP</v>
      </c>
      <c r="S289">
        <v>1.1766999959945601</v>
      </c>
      <c r="T289" t="str">
        <f t="shared" si="32"/>
        <v>UP</v>
      </c>
      <c r="U289">
        <v>1.1770999431610101</v>
      </c>
      <c r="V289" t="str">
        <f t="shared" si="39"/>
        <v>UP</v>
      </c>
      <c r="W289">
        <v>1.1775000095367401</v>
      </c>
      <c r="X289" t="str">
        <f t="shared" si="33"/>
        <v>UP</v>
      </c>
      <c r="Y289">
        <v>1.1785500049591</v>
      </c>
      <c r="Z289" t="str">
        <f t="shared" si="34"/>
        <v>DOWN</v>
      </c>
      <c r="AA289">
        <v>0</v>
      </c>
      <c r="AB289">
        <v>0</v>
      </c>
      <c r="AC289">
        <v>0</v>
      </c>
      <c r="AD289">
        <v>0</v>
      </c>
    </row>
    <row r="290" spans="1:30" hidden="1" x14ac:dyDescent="0.35">
      <c r="A290" s="2">
        <v>45894</v>
      </c>
      <c r="B290" t="s">
        <v>22</v>
      </c>
      <c r="C290">
        <v>1.17799997329711</v>
      </c>
      <c r="D290">
        <v>1.17830002307891</v>
      </c>
      <c r="E290">
        <v>1.1775499582290601</v>
      </c>
      <c r="F290">
        <v>1.17830002307891</v>
      </c>
      <c r="G290">
        <v>116</v>
      </c>
      <c r="H290">
        <v>1.17771999835968</v>
      </c>
      <c r="I290" s="1">
        <v>9.9897384644442798E-6</v>
      </c>
      <c r="J290" t="str">
        <f t="shared" si="35"/>
        <v>UP</v>
      </c>
      <c r="K290">
        <v>1.1737170004844599</v>
      </c>
      <c r="L290">
        <v>1.3499975204478399E-4</v>
      </c>
      <c r="M290" t="str">
        <f t="shared" si="36"/>
        <v>UP</v>
      </c>
      <c r="N290">
        <v>4.0029978752136302E-3</v>
      </c>
      <c r="O290" t="str">
        <f t="shared" si="37"/>
        <v>UP</v>
      </c>
      <c r="P290">
        <v>55.157898085368203</v>
      </c>
      <c r="Q290">
        <v>-0.41406936169858</v>
      </c>
      <c r="R290" t="str">
        <f t="shared" si="38"/>
        <v>DOWN</v>
      </c>
      <c r="S290">
        <v>1.1773500442504801</v>
      </c>
      <c r="T290" t="str">
        <f t="shared" si="32"/>
        <v>UP</v>
      </c>
      <c r="U290">
        <v>1.1766999959945601</v>
      </c>
      <c r="V290" t="str">
        <f t="shared" si="39"/>
        <v>UP</v>
      </c>
      <c r="W290">
        <v>1.1782499551773</v>
      </c>
      <c r="X290" t="str">
        <f t="shared" si="33"/>
        <v>UP</v>
      </c>
      <c r="Y290">
        <v>1.1775000095367401</v>
      </c>
      <c r="Z290" t="str">
        <f t="shared" si="34"/>
        <v>UP</v>
      </c>
      <c r="AA290">
        <v>0</v>
      </c>
      <c r="AB290">
        <v>0</v>
      </c>
      <c r="AC290">
        <v>0</v>
      </c>
      <c r="AD290">
        <v>0</v>
      </c>
    </row>
    <row r="291" spans="1:30" hidden="1" x14ac:dyDescent="0.35">
      <c r="A291" s="2">
        <v>45894</v>
      </c>
      <c r="B291" t="s">
        <v>23</v>
      </c>
      <c r="C291">
        <v>1.17799997329711</v>
      </c>
      <c r="D291">
        <v>1.1788500547409</v>
      </c>
      <c r="E291">
        <v>1.1776000261306701</v>
      </c>
      <c r="F291">
        <v>1.17799997329711</v>
      </c>
      <c r="G291">
        <v>467</v>
      </c>
      <c r="H291">
        <v>1.1776299953460601</v>
      </c>
      <c r="I291" s="1">
        <v>-9.0003013610839803E-5</v>
      </c>
      <c r="J291" t="str">
        <f t="shared" si="35"/>
        <v>DOWN</v>
      </c>
      <c r="K291">
        <v>1.1737899994850101</v>
      </c>
      <c r="L291" s="1">
        <v>7.2999000549245298E-5</v>
      </c>
      <c r="M291" t="str">
        <f t="shared" si="36"/>
        <v>UP</v>
      </c>
      <c r="N291">
        <v>3.8399958610535398E-3</v>
      </c>
      <c r="O291" t="str">
        <f t="shared" si="37"/>
        <v>UP</v>
      </c>
      <c r="P291">
        <v>55.157898085368203</v>
      </c>
      <c r="Q291">
        <v>0</v>
      </c>
      <c r="R291" t="str">
        <f t="shared" si="38"/>
        <v>DOWN</v>
      </c>
      <c r="S291">
        <v>1.1775499582290601</v>
      </c>
      <c r="T291" t="str">
        <f t="shared" si="32"/>
        <v>UP</v>
      </c>
      <c r="U291">
        <v>1.1773500442504801</v>
      </c>
      <c r="V291" t="str">
        <f t="shared" si="39"/>
        <v>UP</v>
      </c>
      <c r="W291">
        <v>1.17830002307891</v>
      </c>
      <c r="X291" t="str">
        <f t="shared" si="33"/>
        <v>UP</v>
      </c>
      <c r="Y291">
        <v>1.1782499551773</v>
      </c>
      <c r="Z291" t="str">
        <f t="shared" si="34"/>
        <v>UP</v>
      </c>
      <c r="AA291">
        <v>0</v>
      </c>
      <c r="AB291">
        <v>0</v>
      </c>
      <c r="AC291">
        <v>0</v>
      </c>
      <c r="AD291">
        <v>0</v>
      </c>
    </row>
    <row r="292" spans="1:30" hidden="1" x14ac:dyDescent="0.35">
      <c r="A292" s="2">
        <v>45894</v>
      </c>
      <c r="B292" t="s">
        <v>24</v>
      </c>
      <c r="C292">
        <v>1.1770999431610101</v>
      </c>
      <c r="D292">
        <v>1.17859995365142</v>
      </c>
      <c r="E292">
        <v>1.1770999431610101</v>
      </c>
      <c r="F292">
        <v>1.17795002460479</v>
      </c>
      <c r="G292">
        <v>120</v>
      </c>
      <c r="H292">
        <v>1.17759997844696</v>
      </c>
      <c r="I292" s="1">
        <v>-3.0016899108975499E-5</v>
      </c>
      <c r="J292" t="str">
        <f t="shared" si="35"/>
        <v>DOWN</v>
      </c>
      <c r="K292">
        <v>1.17385699748992</v>
      </c>
      <c r="L292" s="1">
        <v>6.6998004913276706E-5</v>
      </c>
      <c r="M292" t="str">
        <f t="shared" si="36"/>
        <v>UP</v>
      </c>
      <c r="N292">
        <v>3.7429809570312901E-3</v>
      </c>
      <c r="O292" t="str">
        <f t="shared" si="37"/>
        <v>UP</v>
      </c>
      <c r="P292">
        <v>51.178144199999799</v>
      </c>
      <c r="Q292">
        <v>-3.9797538853684098</v>
      </c>
      <c r="R292" t="str">
        <f t="shared" si="38"/>
        <v>DOWN</v>
      </c>
      <c r="S292">
        <v>1.1776000261306701</v>
      </c>
      <c r="T292" t="str">
        <f t="shared" si="32"/>
        <v>DOWN</v>
      </c>
      <c r="U292">
        <v>1.1775499582290601</v>
      </c>
      <c r="V292" t="str">
        <f t="shared" si="39"/>
        <v>DOWN</v>
      </c>
      <c r="W292">
        <v>1.1788500547409</v>
      </c>
      <c r="X292" t="str">
        <f t="shared" si="33"/>
        <v>DOWN</v>
      </c>
      <c r="Y292">
        <v>1.17830002307891</v>
      </c>
      <c r="Z292" t="str">
        <f t="shared" si="34"/>
        <v>UP</v>
      </c>
      <c r="AA292">
        <v>0</v>
      </c>
      <c r="AB292">
        <v>0</v>
      </c>
      <c r="AC292">
        <v>0</v>
      </c>
      <c r="AD292">
        <v>0</v>
      </c>
    </row>
    <row r="293" spans="1:30" hidden="1" x14ac:dyDescent="0.35">
      <c r="A293" s="2">
        <v>45894</v>
      </c>
      <c r="B293" t="s">
        <v>25</v>
      </c>
      <c r="C293">
        <v>1.1748000383377</v>
      </c>
      <c r="D293">
        <v>1.1770999431610101</v>
      </c>
      <c r="E293">
        <v>1.17470002174377</v>
      </c>
      <c r="F293">
        <v>1.1770000457763601</v>
      </c>
      <c r="G293">
        <v>290</v>
      </c>
      <c r="H293">
        <v>1.1771999835967999</v>
      </c>
      <c r="I293">
        <v>-3.99994850158735E-4</v>
      </c>
      <c r="J293" t="str">
        <f t="shared" si="35"/>
        <v>DOWN</v>
      </c>
      <c r="K293">
        <v>1.1738719987869199</v>
      </c>
      <c r="L293" s="1">
        <v>1.50012969970525E-5</v>
      </c>
      <c r="M293" t="str">
        <f t="shared" si="36"/>
        <v>UP</v>
      </c>
      <c r="N293">
        <v>3.3279848098755E-3</v>
      </c>
      <c r="O293" t="str">
        <f t="shared" si="37"/>
        <v>UP</v>
      </c>
      <c r="P293">
        <v>42.699786963649998</v>
      </c>
      <c r="Q293">
        <v>-8.4783572363497797</v>
      </c>
      <c r="R293" t="str">
        <f t="shared" si="38"/>
        <v>DOWN</v>
      </c>
      <c r="S293">
        <v>1.1770999431610101</v>
      </c>
      <c r="T293" t="str">
        <f t="shared" si="32"/>
        <v>DOWN</v>
      </c>
      <c r="U293">
        <v>1.1776000261306701</v>
      </c>
      <c r="V293" t="str">
        <f t="shared" si="39"/>
        <v>DOWN</v>
      </c>
      <c r="W293">
        <v>1.17859995365142</v>
      </c>
      <c r="X293" t="str">
        <f t="shared" si="33"/>
        <v>DOWN</v>
      </c>
      <c r="Y293">
        <v>1.1788500547409</v>
      </c>
      <c r="Z293" t="str">
        <f t="shared" si="34"/>
        <v>DOWN</v>
      </c>
      <c r="AA293">
        <v>0</v>
      </c>
      <c r="AB293">
        <v>0</v>
      </c>
      <c r="AC293">
        <v>0</v>
      </c>
      <c r="AD293">
        <v>0</v>
      </c>
    </row>
    <row r="294" spans="1:30" hidden="1" x14ac:dyDescent="0.35">
      <c r="A294" s="2">
        <v>45894</v>
      </c>
      <c r="B294" t="s">
        <v>26</v>
      </c>
      <c r="C294">
        <v>1.17365002632141</v>
      </c>
      <c r="D294">
        <v>1.17499995231628</v>
      </c>
      <c r="E294">
        <v>1.17330002784729</v>
      </c>
      <c r="F294">
        <v>1.17499995231628</v>
      </c>
      <c r="G294">
        <v>531</v>
      </c>
      <c r="H294">
        <v>1.17630999088287</v>
      </c>
      <c r="I294">
        <v>-8.89992713928089E-4</v>
      </c>
      <c r="J294" t="str">
        <f t="shared" si="35"/>
        <v>DOWN</v>
      </c>
      <c r="K294">
        <v>1.1738779997825599</v>
      </c>
      <c r="L294" s="1">
        <v>6.0009956361905998E-6</v>
      </c>
      <c r="M294" t="str">
        <f t="shared" si="36"/>
        <v>UP</v>
      </c>
      <c r="N294">
        <v>2.4319911003112199E-3</v>
      </c>
      <c r="O294" t="str">
        <f t="shared" si="37"/>
        <v>UP</v>
      </c>
      <c r="P294">
        <v>39.202597071537099</v>
      </c>
      <c r="Q294">
        <v>-3.4971898921129698</v>
      </c>
      <c r="R294" t="str">
        <f t="shared" si="38"/>
        <v>DOWN</v>
      </c>
      <c r="S294">
        <v>1.17470002174377</v>
      </c>
      <c r="T294" t="str">
        <f t="shared" si="32"/>
        <v>DOWN</v>
      </c>
      <c r="U294">
        <v>1.1770999431610101</v>
      </c>
      <c r="V294" t="str">
        <f t="shared" si="39"/>
        <v>DOWN</v>
      </c>
      <c r="W294">
        <v>1.1770999431610101</v>
      </c>
      <c r="X294" t="str">
        <f t="shared" si="33"/>
        <v>DOWN</v>
      </c>
      <c r="Y294">
        <v>1.17859995365142</v>
      </c>
      <c r="Z294" t="str">
        <f t="shared" si="34"/>
        <v>DOWN</v>
      </c>
      <c r="AA294">
        <v>0</v>
      </c>
      <c r="AB294">
        <v>0</v>
      </c>
      <c r="AC294">
        <v>0</v>
      </c>
      <c r="AD294">
        <v>0</v>
      </c>
    </row>
    <row r="295" spans="1:30" hidden="1" x14ac:dyDescent="0.35">
      <c r="A295" s="2">
        <v>45894</v>
      </c>
      <c r="B295" t="s">
        <v>27</v>
      </c>
      <c r="C295">
        <v>1.1726499795913601</v>
      </c>
      <c r="D295">
        <v>1.17359995841979</v>
      </c>
      <c r="E295">
        <v>1.1721999645233101</v>
      </c>
      <c r="F295">
        <v>1.17355000972747</v>
      </c>
      <c r="G295">
        <v>79</v>
      </c>
      <c r="H295">
        <v>1.17523999214172</v>
      </c>
      <c r="I295">
        <v>-1.0699987411499901E-3</v>
      </c>
      <c r="J295" t="str">
        <f t="shared" si="35"/>
        <v>DOWN</v>
      </c>
      <c r="K295">
        <v>1.1738859987258901</v>
      </c>
      <c r="L295" s="1">
        <v>7.9989433288130096E-6</v>
      </c>
      <c r="M295" t="str">
        <f t="shared" si="36"/>
        <v>UP</v>
      </c>
      <c r="N295">
        <v>1.3539934158324201E-3</v>
      </c>
      <c r="O295" t="str">
        <f t="shared" si="37"/>
        <v>UP</v>
      </c>
      <c r="P295">
        <v>36.4099491997572</v>
      </c>
      <c r="Q295">
        <v>-2.7926478717798702</v>
      </c>
      <c r="R295" t="str">
        <f t="shared" si="38"/>
        <v>DOWN</v>
      </c>
      <c r="S295">
        <v>1.17330002784729</v>
      </c>
      <c r="T295" t="str">
        <f t="shared" si="32"/>
        <v>DOWN</v>
      </c>
      <c r="U295">
        <v>1.17470002174377</v>
      </c>
      <c r="V295" t="str">
        <f t="shared" si="39"/>
        <v>DOWN</v>
      </c>
      <c r="W295">
        <v>1.17499995231628</v>
      </c>
      <c r="X295" t="str">
        <f t="shared" si="33"/>
        <v>DOWN</v>
      </c>
      <c r="Y295">
        <v>1.1770999431610101</v>
      </c>
      <c r="Z295" t="str">
        <f t="shared" si="34"/>
        <v>DOWN</v>
      </c>
      <c r="AA295">
        <v>0</v>
      </c>
      <c r="AB295">
        <v>0</v>
      </c>
      <c r="AC295">
        <v>0</v>
      </c>
      <c r="AD295">
        <v>0</v>
      </c>
    </row>
    <row r="296" spans="1:30" hidden="1" x14ac:dyDescent="0.35">
      <c r="A296" s="2">
        <v>45894</v>
      </c>
      <c r="B296" t="s">
        <v>38</v>
      </c>
      <c r="C296">
        <v>1.17005002498626</v>
      </c>
      <c r="D296">
        <v>1.1728500127792301</v>
      </c>
      <c r="E296">
        <v>1.16999995708465</v>
      </c>
      <c r="F296">
        <v>1.1728500127792301</v>
      </c>
      <c r="G296">
        <v>192</v>
      </c>
      <c r="H296">
        <v>1.17365000247955</v>
      </c>
      <c r="I296">
        <v>-1.58998966217027E-3</v>
      </c>
      <c r="J296" t="str">
        <f t="shared" si="35"/>
        <v>DOWN</v>
      </c>
      <c r="K296">
        <v>1.1738159990310599</v>
      </c>
      <c r="L296" s="1">
        <v>-6.9999694824351895E-5</v>
      </c>
      <c r="M296" t="str">
        <f t="shared" si="36"/>
        <v>DOWN</v>
      </c>
      <c r="N296">
        <v>-1.6599655151350301E-4</v>
      </c>
      <c r="O296" t="str">
        <f t="shared" si="37"/>
        <v>DOWN</v>
      </c>
      <c r="P296">
        <v>30.355566884825201</v>
      </c>
      <c r="Q296">
        <v>-6.0543823149319698</v>
      </c>
      <c r="R296" t="str">
        <f t="shared" si="38"/>
        <v>DOWN</v>
      </c>
      <c r="S296">
        <v>1.1721999645233101</v>
      </c>
      <c r="T296" t="str">
        <f t="shared" si="32"/>
        <v>DOWN</v>
      </c>
      <c r="U296">
        <v>1.17330002784729</v>
      </c>
      <c r="V296" t="str">
        <f t="shared" si="39"/>
        <v>DOWN</v>
      </c>
      <c r="W296">
        <v>1.17359995841979</v>
      </c>
      <c r="X296" t="str">
        <f t="shared" si="33"/>
        <v>DOWN</v>
      </c>
      <c r="Y296">
        <v>1.17499995231628</v>
      </c>
      <c r="Z296" t="str">
        <f t="shared" si="34"/>
        <v>DOWN</v>
      </c>
      <c r="AA296">
        <v>0</v>
      </c>
      <c r="AB296">
        <v>0</v>
      </c>
      <c r="AC296">
        <v>0</v>
      </c>
      <c r="AD296">
        <v>0</v>
      </c>
    </row>
    <row r="297" spans="1:30" hidden="1" x14ac:dyDescent="0.35">
      <c r="A297" s="2">
        <v>45894</v>
      </c>
      <c r="B297" t="s">
        <v>28</v>
      </c>
      <c r="C297">
        <v>1.16904997825622</v>
      </c>
      <c r="D297">
        <v>1.17005002498626</v>
      </c>
      <c r="E297">
        <v>1.1684000492095901</v>
      </c>
      <c r="F297">
        <v>1.16995000839233</v>
      </c>
      <c r="G297">
        <v>87</v>
      </c>
      <c r="H297">
        <v>1.1720400094985901</v>
      </c>
      <c r="I297">
        <v>-1.6099929809572E-3</v>
      </c>
      <c r="J297" t="str">
        <f t="shared" si="35"/>
        <v>DOWN</v>
      </c>
      <c r="K297">
        <v>1.1737969994544899</v>
      </c>
      <c r="L297" s="1">
        <v>-1.8999576568479099E-5</v>
      </c>
      <c r="M297" t="str">
        <f t="shared" si="36"/>
        <v>DOWN</v>
      </c>
      <c r="N297">
        <v>-1.75698995590223E-3</v>
      </c>
      <c r="O297" t="str">
        <f t="shared" si="37"/>
        <v>DOWN</v>
      </c>
      <c r="P297">
        <v>28.399432687269101</v>
      </c>
      <c r="Q297">
        <v>-1.9561341975561499</v>
      </c>
      <c r="R297" t="str">
        <f t="shared" si="38"/>
        <v>DOWN</v>
      </c>
      <c r="S297">
        <v>1.16999995708465</v>
      </c>
      <c r="T297" t="str">
        <f t="shared" si="32"/>
        <v>DOWN</v>
      </c>
      <c r="U297">
        <v>1.1721999645233101</v>
      </c>
      <c r="V297" t="str">
        <f t="shared" si="39"/>
        <v>DOWN</v>
      </c>
      <c r="W297">
        <v>1.1728500127792301</v>
      </c>
      <c r="X297" t="str">
        <f t="shared" si="33"/>
        <v>DOWN</v>
      </c>
      <c r="Y297">
        <v>1.17359995841979</v>
      </c>
      <c r="Z297" t="str">
        <f t="shared" si="34"/>
        <v>DOWN</v>
      </c>
      <c r="AA297">
        <v>0</v>
      </c>
      <c r="AB297">
        <v>1</v>
      </c>
      <c r="AC297">
        <v>0</v>
      </c>
      <c r="AD297">
        <v>0</v>
      </c>
    </row>
    <row r="298" spans="1:30" hidden="1" x14ac:dyDescent="0.35">
      <c r="A298" s="2">
        <v>45894</v>
      </c>
      <c r="B298" t="s">
        <v>39</v>
      </c>
      <c r="C298">
        <v>1.17009997367858</v>
      </c>
      <c r="D298">
        <v>1.17060005664825</v>
      </c>
      <c r="E298">
        <v>1.16910004615783</v>
      </c>
      <c r="F298">
        <v>1.16914999485015</v>
      </c>
      <c r="G298">
        <v>46</v>
      </c>
      <c r="H298">
        <v>1.1710999965667701</v>
      </c>
      <c r="I298">
        <v>-9.4001293182355197E-4</v>
      </c>
      <c r="J298" t="str">
        <f t="shared" si="35"/>
        <v>DOWN</v>
      </c>
      <c r="K298">
        <v>1.1738069987297</v>
      </c>
      <c r="L298" s="1">
        <v>9.9992752073951795E-6</v>
      </c>
      <c r="M298" t="str">
        <f t="shared" si="36"/>
        <v>UP</v>
      </c>
      <c r="N298">
        <v>-2.70700216293318E-3</v>
      </c>
      <c r="O298" t="str">
        <f t="shared" si="37"/>
        <v>DOWN</v>
      </c>
      <c r="P298">
        <v>33.262205116361699</v>
      </c>
      <c r="Q298">
        <v>4.8627724290926002</v>
      </c>
      <c r="R298" t="str">
        <f t="shared" si="38"/>
        <v>UP</v>
      </c>
      <c r="S298">
        <v>1.1684000492095901</v>
      </c>
      <c r="T298" t="str">
        <f t="shared" si="32"/>
        <v>UP</v>
      </c>
      <c r="U298">
        <v>1.16999995708465</v>
      </c>
      <c r="V298" t="str">
        <f t="shared" si="39"/>
        <v>DOWN</v>
      </c>
      <c r="W298">
        <v>1.17005002498626</v>
      </c>
      <c r="X298" t="str">
        <f t="shared" si="33"/>
        <v>UP</v>
      </c>
      <c r="Y298">
        <v>1.1728500127792301</v>
      </c>
      <c r="Z298" t="str">
        <f t="shared" si="34"/>
        <v>DOWN</v>
      </c>
      <c r="AA298">
        <v>0</v>
      </c>
      <c r="AB298">
        <v>0</v>
      </c>
      <c r="AC298">
        <v>0</v>
      </c>
      <c r="AD298">
        <v>0</v>
      </c>
    </row>
    <row r="299" spans="1:30" hidden="1" x14ac:dyDescent="0.35">
      <c r="A299" s="2">
        <v>45894</v>
      </c>
      <c r="B299" t="s">
        <v>40</v>
      </c>
      <c r="C299">
        <v>1.16989994049072</v>
      </c>
      <c r="D299">
        <v>1.16989994049072</v>
      </c>
      <c r="E299">
        <v>1.16989994049072</v>
      </c>
      <c r="F299">
        <v>1.16989994049072</v>
      </c>
      <c r="G299">
        <v>0</v>
      </c>
      <c r="H299">
        <v>1.17034997940063</v>
      </c>
      <c r="I299">
        <v>-7.5001716613787295E-4</v>
      </c>
      <c r="J299" t="str">
        <f t="shared" si="35"/>
        <v>DOWN</v>
      </c>
      <c r="K299">
        <v>1.1738269972801201</v>
      </c>
      <c r="L299" s="1">
        <v>1.99985504150124E-5</v>
      </c>
      <c r="M299" t="str">
        <f t="shared" si="36"/>
        <v>UP</v>
      </c>
      <c r="N299">
        <v>-3.4770178794860601E-3</v>
      </c>
      <c r="O299" t="str">
        <f t="shared" si="37"/>
        <v>DOWN</v>
      </c>
      <c r="P299">
        <v>32.805108200796901</v>
      </c>
      <c r="Q299">
        <v>-0.457096915564775</v>
      </c>
      <c r="R299" t="str">
        <f t="shared" si="38"/>
        <v>DOWN</v>
      </c>
      <c r="S299">
        <v>1.16910004615783</v>
      </c>
      <c r="T299" t="str">
        <f t="shared" si="32"/>
        <v>UP</v>
      </c>
      <c r="U299">
        <v>1.1684000492095901</v>
      </c>
      <c r="V299" t="str">
        <f t="shared" si="39"/>
        <v>UP</v>
      </c>
      <c r="W299">
        <v>1.17060005664825</v>
      </c>
      <c r="X299" t="str">
        <f t="shared" si="33"/>
        <v>DOWN</v>
      </c>
      <c r="Y299">
        <v>1.17005002498626</v>
      </c>
      <c r="Z299" t="str">
        <f t="shared" si="34"/>
        <v>DOWN</v>
      </c>
      <c r="AA299">
        <v>0</v>
      </c>
      <c r="AB299">
        <v>0</v>
      </c>
      <c r="AC299">
        <v>0</v>
      </c>
      <c r="AD299">
        <v>0</v>
      </c>
    </row>
    <row r="300" spans="1:30" hidden="1" x14ac:dyDescent="0.35">
      <c r="A300" s="2">
        <v>45894</v>
      </c>
      <c r="B300" t="s">
        <v>42</v>
      </c>
      <c r="C300">
        <v>1.1695499420166</v>
      </c>
      <c r="D300">
        <v>1.16980004310607</v>
      </c>
      <c r="E300">
        <v>1.16925001144409</v>
      </c>
      <c r="F300">
        <v>1.16980004310607</v>
      </c>
      <c r="G300">
        <v>10</v>
      </c>
      <c r="H300">
        <v>1.16972997188568</v>
      </c>
      <c r="I300">
        <v>-6.2000751495361296E-4</v>
      </c>
      <c r="J300" t="str">
        <f t="shared" si="35"/>
        <v>DOWN</v>
      </c>
      <c r="K300">
        <v>1.1738339972495999</v>
      </c>
      <c r="L300" s="1">
        <v>6.9999694825018102E-6</v>
      </c>
      <c r="M300" t="str">
        <f t="shared" si="36"/>
        <v>UP</v>
      </c>
      <c r="N300">
        <v>-4.1040253639221796E-3</v>
      </c>
      <c r="O300" t="str">
        <f t="shared" si="37"/>
        <v>DOWN</v>
      </c>
      <c r="P300">
        <v>31.9770805449274</v>
      </c>
      <c r="Q300">
        <v>-0.82802765586953297</v>
      </c>
      <c r="R300" t="str">
        <f t="shared" si="38"/>
        <v>DOWN</v>
      </c>
      <c r="S300">
        <v>1.16989994049072</v>
      </c>
      <c r="T300" t="str">
        <f t="shared" si="32"/>
        <v>DOWN</v>
      </c>
      <c r="U300">
        <v>1.16910004615783</v>
      </c>
      <c r="V300" t="str">
        <f t="shared" si="39"/>
        <v>UP</v>
      </c>
      <c r="W300">
        <v>1.16989994049072</v>
      </c>
      <c r="X300" t="str">
        <f t="shared" si="33"/>
        <v>DOWN</v>
      </c>
      <c r="Y300">
        <v>1.17060005664825</v>
      </c>
      <c r="Z300" t="str">
        <f t="shared" si="34"/>
        <v>DOWN</v>
      </c>
      <c r="AA300">
        <v>0</v>
      </c>
      <c r="AB300">
        <v>0</v>
      </c>
      <c r="AC300">
        <v>0</v>
      </c>
      <c r="AD300">
        <v>0</v>
      </c>
    </row>
    <row r="301" spans="1:30" hidden="1" x14ac:dyDescent="0.35">
      <c r="A301" s="2">
        <v>45895</v>
      </c>
      <c r="B301" t="s">
        <v>29</v>
      </c>
      <c r="C301">
        <v>1.17344999313354</v>
      </c>
      <c r="D301">
        <v>1.17385005950927</v>
      </c>
      <c r="E301">
        <v>1.1713500022888099</v>
      </c>
      <c r="F301">
        <v>1.1716500520706099</v>
      </c>
      <c r="G301">
        <v>177</v>
      </c>
      <c r="H301">
        <v>1.1704099655151301</v>
      </c>
      <c r="I301">
        <v>6.7999362945569898E-4</v>
      </c>
      <c r="J301" t="str">
        <f t="shared" si="35"/>
        <v>UP</v>
      </c>
      <c r="K301">
        <v>1.17390699625015</v>
      </c>
      <c r="L301" s="1">
        <v>7.2999000549245298E-5</v>
      </c>
      <c r="M301" t="str">
        <f t="shared" si="36"/>
        <v>UP</v>
      </c>
      <c r="N301">
        <v>-3.4970307350157201E-3</v>
      </c>
      <c r="O301" t="str">
        <f t="shared" si="37"/>
        <v>DOWN</v>
      </c>
      <c r="P301">
        <v>47.790945554666699</v>
      </c>
      <c r="Q301">
        <v>15.813865009739301</v>
      </c>
      <c r="R301" t="str">
        <f t="shared" si="38"/>
        <v>UP</v>
      </c>
      <c r="S301">
        <v>1.16925001144409</v>
      </c>
      <c r="T301" t="str">
        <f t="shared" si="32"/>
        <v>UP</v>
      </c>
      <c r="U301">
        <v>1.16989994049072</v>
      </c>
      <c r="V301" t="str">
        <f t="shared" si="39"/>
        <v>UP</v>
      </c>
      <c r="W301">
        <v>1.16980004310607</v>
      </c>
      <c r="X301" t="str">
        <f t="shared" si="33"/>
        <v>UP</v>
      </c>
      <c r="Y301">
        <v>1.16989994049072</v>
      </c>
      <c r="Z301" t="str">
        <f t="shared" si="34"/>
        <v>UP</v>
      </c>
      <c r="AA301">
        <v>0</v>
      </c>
      <c r="AB301">
        <v>0</v>
      </c>
      <c r="AC301">
        <v>0</v>
      </c>
      <c r="AD301">
        <v>0</v>
      </c>
    </row>
    <row r="302" spans="1:30" hidden="1" x14ac:dyDescent="0.35">
      <c r="A302" s="2">
        <v>45895</v>
      </c>
      <c r="B302" t="s">
        <v>30</v>
      </c>
      <c r="C302">
        <v>1.1714500188827499</v>
      </c>
      <c r="D302">
        <v>1.1728500127792301</v>
      </c>
      <c r="E302">
        <v>1.1714500188827499</v>
      </c>
      <c r="F302">
        <v>1.1727000474929801</v>
      </c>
      <c r="G302">
        <v>37</v>
      </c>
      <c r="H302">
        <v>1.1708899736404399</v>
      </c>
      <c r="I302">
        <v>4.8000812530513099E-4</v>
      </c>
      <c r="J302" t="str">
        <f t="shared" si="35"/>
        <v>UP</v>
      </c>
      <c r="K302">
        <v>1.17394999742507</v>
      </c>
      <c r="L302" s="1">
        <v>4.3001174926837701E-5</v>
      </c>
      <c r="M302" t="str">
        <f t="shared" si="36"/>
        <v>UP</v>
      </c>
      <c r="N302">
        <v>-3.0600237846374299E-3</v>
      </c>
      <c r="O302" t="str">
        <f t="shared" si="37"/>
        <v>DOWN</v>
      </c>
      <c r="P302">
        <v>42.353323218771699</v>
      </c>
      <c r="Q302">
        <v>-5.4376223358950204</v>
      </c>
      <c r="R302" t="str">
        <f t="shared" si="38"/>
        <v>DOWN</v>
      </c>
      <c r="S302">
        <v>1.1713500022888099</v>
      </c>
      <c r="T302" t="str">
        <f t="shared" si="32"/>
        <v>UP</v>
      </c>
      <c r="U302">
        <v>1.16925001144409</v>
      </c>
      <c r="V302" t="str">
        <f t="shared" si="39"/>
        <v>UP</v>
      </c>
      <c r="W302">
        <v>1.17385005950927</v>
      </c>
      <c r="X302" t="str">
        <f t="shared" si="33"/>
        <v>DOWN</v>
      </c>
      <c r="Y302">
        <v>1.16980004310607</v>
      </c>
      <c r="Z302" t="str">
        <f t="shared" si="34"/>
        <v>UP</v>
      </c>
      <c r="AA302">
        <v>0</v>
      </c>
      <c r="AB302">
        <v>0</v>
      </c>
      <c r="AC302">
        <v>0</v>
      </c>
      <c r="AD302">
        <v>0</v>
      </c>
    </row>
    <row r="303" spans="1:30" hidden="1" x14ac:dyDescent="0.35">
      <c r="A303" s="2">
        <v>45895</v>
      </c>
      <c r="B303" t="s">
        <v>31</v>
      </c>
      <c r="C303">
        <v>1.1717499494552599</v>
      </c>
      <c r="D303">
        <v>1.1725000143051101</v>
      </c>
      <c r="E303">
        <v>1.1714999675750699</v>
      </c>
      <c r="F303">
        <v>1.1721500158309901</v>
      </c>
      <c r="G303">
        <v>35</v>
      </c>
      <c r="H303">
        <v>1.1712199687957701</v>
      </c>
      <c r="I303">
        <v>3.2999515533438303E-4</v>
      </c>
      <c r="J303" t="str">
        <f t="shared" si="35"/>
        <v>UP</v>
      </c>
      <c r="K303">
        <v>1.17400199651718</v>
      </c>
      <c r="L303" s="1">
        <v>5.1999092101961902E-5</v>
      </c>
      <c r="M303" t="str">
        <f t="shared" si="36"/>
        <v>UP</v>
      </c>
      <c r="N303">
        <v>-2.7820277214050098E-3</v>
      </c>
      <c r="O303" t="str">
        <f t="shared" si="37"/>
        <v>DOWN</v>
      </c>
      <c r="P303">
        <v>43.393508422414698</v>
      </c>
      <c r="Q303">
        <v>1.04018520364297</v>
      </c>
      <c r="R303" t="str">
        <f t="shared" si="38"/>
        <v>UP</v>
      </c>
      <c r="S303">
        <v>1.1714500188827499</v>
      </c>
      <c r="T303" t="str">
        <f t="shared" si="32"/>
        <v>UP</v>
      </c>
      <c r="U303">
        <v>1.1713500022888099</v>
      </c>
      <c r="V303" t="str">
        <f t="shared" si="39"/>
        <v>UP</v>
      </c>
      <c r="W303">
        <v>1.1728500127792301</v>
      </c>
      <c r="X303" t="str">
        <f t="shared" si="33"/>
        <v>DOWN</v>
      </c>
      <c r="Y303">
        <v>1.17385005950927</v>
      </c>
      <c r="Z303" t="str">
        <f t="shared" si="34"/>
        <v>DOWN</v>
      </c>
      <c r="AA303">
        <v>0</v>
      </c>
      <c r="AB303">
        <v>0</v>
      </c>
      <c r="AC303">
        <v>0</v>
      </c>
      <c r="AD303">
        <v>0</v>
      </c>
    </row>
    <row r="304" spans="1:30" hidden="1" x14ac:dyDescent="0.35">
      <c r="A304" s="2">
        <v>45895</v>
      </c>
      <c r="B304" t="s">
        <v>32</v>
      </c>
      <c r="C304">
        <v>1.1707999706268299</v>
      </c>
      <c r="D304">
        <v>1.1711499691009499</v>
      </c>
      <c r="E304">
        <v>1.17050004005432</v>
      </c>
      <c r="F304">
        <v>1.1711499691009499</v>
      </c>
      <c r="G304">
        <v>42</v>
      </c>
      <c r="H304">
        <v>1.17139997482299</v>
      </c>
      <c r="I304">
        <v>1.8000602722167901E-4</v>
      </c>
      <c r="J304" t="str">
        <f t="shared" si="35"/>
        <v>UP</v>
      </c>
      <c r="K304">
        <v>1.17403699636459</v>
      </c>
      <c r="L304" s="1">
        <v>3.4999847412286997E-5</v>
      </c>
      <c r="M304" t="str">
        <f t="shared" si="36"/>
        <v>UP</v>
      </c>
      <c r="N304">
        <v>-2.6370215415956102E-3</v>
      </c>
      <c r="O304" t="str">
        <f t="shared" si="37"/>
        <v>DOWN</v>
      </c>
      <c r="P304">
        <v>40.877573643139101</v>
      </c>
      <c r="Q304">
        <v>-2.5159347792755402</v>
      </c>
      <c r="R304" t="str">
        <f t="shared" si="38"/>
        <v>DOWN</v>
      </c>
      <c r="S304">
        <v>1.1714999675750699</v>
      </c>
      <c r="T304" t="str">
        <f t="shared" si="32"/>
        <v>DOWN</v>
      </c>
      <c r="U304">
        <v>1.1714500188827499</v>
      </c>
      <c r="V304" t="str">
        <f t="shared" si="39"/>
        <v>DOWN</v>
      </c>
      <c r="W304">
        <v>1.1725000143051101</v>
      </c>
      <c r="X304" t="str">
        <f t="shared" si="33"/>
        <v>DOWN</v>
      </c>
      <c r="Y304">
        <v>1.1728500127792301</v>
      </c>
      <c r="Z304" t="str">
        <f t="shared" si="34"/>
        <v>DOWN</v>
      </c>
      <c r="AA304">
        <v>0</v>
      </c>
      <c r="AB304">
        <v>0</v>
      </c>
      <c r="AC304">
        <v>0</v>
      </c>
      <c r="AD304">
        <v>0</v>
      </c>
    </row>
    <row r="305" spans="1:30" hidden="1" x14ac:dyDescent="0.35">
      <c r="A305" s="2">
        <v>45895</v>
      </c>
      <c r="B305" t="s">
        <v>33</v>
      </c>
      <c r="C305">
        <v>1.1709500551223699</v>
      </c>
      <c r="D305">
        <v>1.1709500551223699</v>
      </c>
      <c r="E305">
        <v>1.1709500551223699</v>
      </c>
      <c r="F305">
        <v>1.1709500551223699</v>
      </c>
      <c r="G305">
        <v>1</v>
      </c>
      <c r="H305">
        <v>1.1716799974441501</v>
      </c>
      <c r="I305">
        <v>2.8002262115478499E-4</v>
      </c>
      <c r="J305" t="str">
        <f t="shared" si="35"/>
        <v>UP</v>
      </c>
      <c r="K305">
        <v>1.1740689969062801</v>
      </c>
      <c r="L305" s="1">
        <v>3.2000541686949499E-5</v>
      </c>
      <c r="M305" t="str">
        <f t="shared" si="36"/>
        <v>UP</v>
      </c>
      <c r="N305">
        <v>-2.3889994621277802E-3</v>
      </c>
      <c r="O305" t="str">
        <f t="shared" si="37"/>
        <v>DOWN</v>
      </c>
      <c r="P305">
        <v>41.455097971968598</v>
      </c>
      <c r="Q305">
        <v>0.57752432882943305</v>
      </c>
      <c r="R305" t="str">
        <f t="shared" si="38"/>
        <v>UP</v>
      </c>
      <c r="S305">
        <v>1.17050004005432</v>
      </c>
      <c r="T305" t="str">
        <f t="shared" si="32"/>
        <v>UP</v>
      </c>
      <c r="U305">
        <v>1.1714999675750699</v>
      </c>
      <c r="V305" t="str">
        <f t="shared" si="39"/>
        <v>DOWN</v>
      </c>
      <c r="W305">
        <v>1.1711499691009499</v>
      </c>
      <c r="X305" t="str">
        <f t="shared" si="33"/>
        <v>DOWN</v>
      </c>
      <c r="Y305">
        <v>1.1725000143051101</v>
      </c>
      <c r="Z305" t="str">
        <f t="shared" si="34"/>
        <v>DOWN</v>
      </c>
      <c r="AA305">
        <v>0</v>
      </c>
      <c r="AB305">
        <v>0</v>
      </c>
      <c r="AC305">
        <v>0</v>
      </c>
      <c r="AD305">
        <v>0</v>
      </c>
    </row>
    <row r="306" spans="1:30" hidden="1" x14ac:dyDescent="0.35">
      <c r="A306" s="2">
        <v>45895</v>
      </c>
      <c r="B306" t="s">
        <v>41</v>
      </c>
      <c r="C306">
        <v>1.1720499992370601</v>
      </c>
      <c r="D306">
        <v>1.1720499992370601</v>
      </c>
      <c r="E306">
        <v>1.1713000535964899</v>
      </c>
      <c r="F306">
        <v>1.1713000535964899</v>
      </c>
      <c r="G306">
        <v>31</v>
      </c>
      <c r="H306">
        <v>1.17139999866485</v>
      </c>
      <c r="I306">
        <v>-2.7999877929674101E-4</v>
      </c>
      <c r="J306" t="str">
        <f t="shared" si="35"/>
        <v>DOWN</v>
      </c>
      <c r="K306">
        <v>1.1741279959678601</v>
      </c>
      <c r="L306" s="1">
        <v>5.89990615844637E-5</v>
      </c>
      <c r="M306" t="str">
        <f t="shared" si="36"/>
        <v>UP</v>
      </c>
      <c r="N306">
        <v>-2.7279973030089801E-3</v>
      </c>
      <c r="O306" t="str">
        <f t="shared" si="37"/>
        <v>DOWN</v>
      </c>
      <c r="P306">
        <v>45.645655182336803</v>
      </c>
      <c r="Q306">
        <v>4.19055721036829</v>
      </c>
      <c r="R306" t="str">
        <f t="shared" si="38"/>
        <v>UP</v>
      </c>
      <c r="S306">
        <v>1.1709500551223699</v>
      </c>
      <c r="T306" t="str">
        <f t="shared" si="32"/>
        <v>UP</v>
      </c>
      <c r="U306">
        <v>1.17050004005432</v>
      </c>
      <c r="V306" t="str">
        <f t="shared" si="39"/>
        <v>UP</v>
      </c>
      <c r="W306">
        <v>1.1709500551223699</v>
      </c>
      <c r="X306" t="str">
        <f t="shared" si="33"/>
        <v>UP</v>
      </c>
      <c r="Y306">
        <v>1.1711499691009499</v>
      </c>
      <c r="Z306" t="str">
        <f t="shared" si="34"/>
        <v>UP</v>
      </c>
      <c r="AA306">
        <v>0</v>
      </c>
      <c r="AB306">
        <v>0</v>
      </c>
      <c r="AC306">
        <v>0</v>
      </c>
      <c r="AD306">
        <v>0</v>
      </c>
    </row>
    <row r="307" spans="1:30" hidden="1" x14ac:dyDescent="0.35">
      <c r="A307" s="2">
        <v>45895</v>
      </c>
      <c r="B307" t="s">
        <v>34</v>
      </c>
      <c r="C307">
        <v>1.17060005664825</v>
      </c>
      <c r="D307">
        <v>1.1713500022888099</v>
      </c>
      <c r="E307">
        <v>1.16980004310607</v>
      </c>
      <c r="F307">
        <v>1.1713000535964899</v>
      </c>
      <c r="G307">
        <v>30</v>
      </c>
      <c r="H307">
        <v>1.1712300062179499</v>
      </c>
      <c r="I307">
        <v>-1.6999244689941401E-4</v>
      </c>
      <c r="J307" t="str">
        <f t="shared" si="35"/>
        <v>DOWN</v>
      </c>
      <c r="K307">
        <v>1.1741559982299801</v>
      </c>
      <c r="L307" s="1">
        <v>2.8002262115522901E-5</v>
      </c>
      <c r="M307" t="str">
        <f t="shared" si="36"/>
        <v>UP</v>
      </c>
      <c r="N307">
        <v>-2.9259920120239201E-3</v>
      </c>
      <c r="O307" t="str">
        <f t="shared" si="37"/>
        <v>DOWN</v>
      </c>
      <c r="P307">
        <v>41.435306041625097</v>
      </c>
      <c r="Q307">
        <v>-4.2103491407117097</v>
      </c>
      <c r="R307" t="str">
        <f t="shared" si="38"/>
        <v>DOWN</v>
      </c>
      <c r="S307">
        <v>1.1713000535964899</v>
      </c>
      <c r="T307" t="str">
        <f t="shared" si="32"/>
        <v>DOWN</v>
      </c>
      <c r="U307">
        <v>1.1709500551223699</v>
      </c>
      <c r="V307" t="str">
        <f t="shared" si="39"/>
        <v>DOWN</v>
      </c>
      <c r="W307">
        <v>1.1720499992370601</v>
      </c>
      <c r="X307" t="str">
        <f t="shared" si="33"/>
        <v>DOWN</v>
      </c>
      <c r="Y307">
        <v>1.1709500551223699</v>
      </c>
      <c r="Z307" t="str">
        <f t="shared" si="34"/>
        <v>UP</v>
      </c>
      <c r="AA307">
        <v>0</v>
      </c>
      <c r="AB307">
        <v>0</v>
      </c>
      <c r="AC307">
        <v>0</v>
      </c>
      <c r="AD307">
        <v>0</v>
      </c>
    </row>
    <row r="308" spans="1:30" hidden="1" x14ac:dyDescent="0.35">
      <c r="A308" s="2">
        <v>45895</v>
      </c>
      <c r="B308" t="s">
        <v>35</v>
      </c>
      <c r="C308">
        <v>1.16995000839233</v>
      </c>
      <c r="D308">
        <v>1.1708500385284399</v>
      </c>
      <c r="E308">
        <v>1.1684999465942301</v>
      </c>
      <c r="F308">
        <v>1.16999995708465</v>
      </c>
      <c r="G308">
        <v>31</v>
      </c>
      <c r="H308">
        <v>1.1708700180053699</v>
      </c>
      <c r="I308">
        <v>-3.5998821258553798E-4</v>
      </c>
      <c r="J308" t="str">
        <f t="shared" si="35"/>
        <v>DOWN</v>
      </c>
      <c r="K308">
        <v>1.1742029976844699</v>
      </c>
      <c r="L308" s="1">
        <v>4.6999454498264303E-5</v>
      </c>
      <c r="M308" t="str">
        <f t="shared" si="36"/>
        <v>UP</v>
      </c>
      <c r="N308">
        <v>-3.3329796791077199E-3</v>
      </c>
      <c r="O308" t="str">
        <f t="shared" si="37"/>
        <v>DOWN</v>
      </c>
      <c r="P308">
        <v>39.668675087838501</v>
      </c>
      <c r="Q308">
        <v>-1.76663095378664</v>
      </c>
      <c r="R308" t="str">
        <f t="shared" si="38"/>
        <v>DOWN</v>
      </c>
      <c r="S308">
        <v>1.16980004310607</v>
      </c>
      <c r="T308" t="str">
        <f t="shared" si="32"/>
        <v>DOWN</v>
      </c>
      <c r="U308">
        <v>1.1713000535964899</v>
      </c>
      <c r="V308" t="str">
        <f t="shared" si="39"/>
        <v>DOWN</v>
      </c>
      <c r="W308">
        <v>1.1713500022888099</v>
      </c>
      <c r="X308" t="str">
        <f t="shared" si="33"/>
        <v>DOWN</v>
      </c>
      <c r="Y308">
        <v>1.1720499992370601</v>
      </c>
      <c r="Z308" t="str">
        <f t="shared" si="34"/>
        <v>DOWN</v>
      </c>
      <c r="AA308">
        <v>0</v>
      </c>
      <c r="AB308">
        <v>1</v>
      </c>
      <c r="AC308">
        <v>0</v>
      </c>
      <c r="AD308">
        <v>0</v>
      </c>
    </row>
    <row r="309" spans="1:30" hidden="1" x14ac:dyDescent="0.35">
      <c r="A309" s="2">
        <v>45895</v>
      </c>
      <c r="B309" t="s">
        <v>36</v>
      </c>
      <c r="C309">
        <v>1.1698499917984</v>
      </c>
      <c r="D309">
        <v>1.17019999027252</v>
      </c>
      <c r="E309">
        <v>1.16925001144409</v>
      </c>
      <c r="F309">
        <v>1.17019999027252</v>
      </c>
      <c r="G309">
        <v>38</v>
      </c>
      <c r="H309">
        <v>1.17068002223968</v>
      </c>
      <c r="I309">
        <v>-1.8999576568590101E-4</v>
      </c>
      <c r="J309" t="str">
        <f t="shared" si="35"/>
        <v>DOWN</v>
      </c>
      <c r="K309">
        <v>1.17426399707794</v>
      </c>
      <c r="L309" s="1">
        <v>6.09993934630459E-5</v>
      </c>
      <c r="M309" t="str">
        <f t="shared" si="36"/>
        <v>UP</v>
      </c>
      <c r="N309">
        <v>-3.58397483825667E-3</v>
      </c>
      <c r="O309" t="str">
        <f t="shared" si="37"/>
        <v>DOWN</v>
      </c>
      <c r="P309">
        <v>39.390398413363897</v>
      </c>
      <c r="Q309">
        <v>-0.27827667447461801</v>
      </c>
      <c r="R309" t="str">
        <f t="shared" si="38"/>
        <v>DOWN</v>
      </c>
      <c r="S309">
        <v>1.1684999465942301</v>
      </c>
      <c r="T309" t="str">
        <f t="shared" si="32"/>
        <v>UP</v>
      </c>
      <c r="U309">
        <v>1.16980004310607</v>
      </c>
      <c r="V309" t="str">
        <f t="shared" si="39"/>
        <v>DOWN</v>
      </c>
      <c r="W309">
        <v>1.1708500385284399</v>
      </c>
      <c r="X309" t="str">
        <f t="shared" si="33"/>
        <v>DOWN</v>
      </c>
      <c r="Y309">
        <v>1.1713500022888099</v>
      </c>
      <c r="Z309" t="str">
        <f t="shared" si="34"/>
        <v>DOWN</v>
      </c>
      <c r="AA309">
        <v>0</v>
      </c>
      <c r="AB309">
        <v>0</v>
      </c>
      <c r="AC309">
        <v>0</v>
      </c>
      <c r="AD309">
        <v>0</v>
      </c>
    </row>
    <row r="310" spans="1:30" hidden="1" x14ac:dyDescent="0.35">
      <c r="A310" s="2">
        <v>45895</v>
      </c>
      <c r="B310" t="s">
        <v>37</v>
      </c>
      <c r="C310">
        <v>1.1722999811172401</v>
      </c>
      <c r="D310">
        <v>1.1722999811172401</v>
      </c>
      <c r="E310">
        <v>1.1711000204086299</v>
      </c>
      <c r="F310">
        <v>1.1711000204086299</v>
      </c>
      <c r="G310">
        <v>9</v>
      </c>
      <c r="H310">
        <v>1.1709500074386501</v>
      </c>
      <c r="I310">
        <v>2.6998519897447599E-4</v>
      </c>
      <c r="J310" t="str">
        <f t="shared" si="35"/>
        <v>UP</v>
      </c>
      <c r="K310">
        <v>1.1743759965896601</v>
      </c>
      <c r="L310">
        <v>1.1199951171891799E-4</v>
      </c>
      <c r="M310" t="str">
        <f t="shared" si="36"/>
        <v>UP</v>
      </c>
      <c r="N310">
        <v>-3.42598915100111E-3</v>
      </c>
      <c r="O310" t="str">
        <f t="shared" si="37"/>
        <v>DOWN</v>
      </c>
      <c r="P310">
        <v>48.855124480655498</v>
      </c>
      <c r="Q310">
        <v>9.4647260672915792</v>
      </c>
      <c r="R310" t="str">
        <f t="shared" si="38"/>
        <v>UP</v>
      </c>
      <c r="S310">
        <v>1.16925001144409</v>
      </c>
      <c r="T310" t="str">
        <f t="shared" si="32"/>
        <v>UP</v>
      </c>
      <c r="U310">
        <v>1.1684999465942301</v>
      </c>
      <c r="V310" t="str">
        <f t="shared" si="39"/>
        <v>UP</v>
      </c>
      <c r="W310">
        <v>1.17019999027252</v>
      </c>
      <c r="X310" t="str">
        <f t="shared" si="33"/>
        <v>UP</v>
      </c>
      <c r="Y310">
        <v>1.1708500385284399</v>
      </c>
      <c r="Z310" t="str">
        <f t="shared" si="34"/>
        <v>UP</v>
      </c>
      <c r="AA310">
        <v>0</v>
      </c>
      <c r="AB310">
        <v>0</v>
      </c>
      <c r="AC310">
        <v>0</v>
      </c>
      <c r="AD310">
        <v>0</v>
      </c>
    </row>
    <row r="311" spans="1:30" hidden="1" x14ac:dyDescent="0.35">
      <c r="A311" s="2">
        <v>45895</v>
      </c>
      <c r="B311" t="s">
        <v>20</v>
      </c>
      <c r="C311">
        <v>1.1723500490188501</v>
      </c>
      <c r="D311">
        <v>1.1726000308990401</v>
      </c>
      <c r="E311">
        <v>1.1720000505447301</v>
      </c>
      <c r="F311">
        <v>1.1726000308990401</v>
      </c>
      <c r="G311">
        <v>37</v>
      </c>
      <c r="H311">
        <v>1.17101001739501</v>
      </c>
      <c r="I311" s="1">
        <v>6.0009956359907602E-5</v>
      </c>
      <c r="J311" t="str">
        <f t="shared" si="35"/>
        <v>UP</v>
      </c>
      <c r="K311">
        <v>1.1744789981842001</v>
      </c>
      <c r="L311">
        <v>1.0300159454335E-4</v>
      </c>
      <c r="M311" t="str">
        <f t="shared" si="36"/>
        <v>UP</v>
      </c>
      <c r="N311">
        <v>-3.4689807891845601E-3</v>
      </c>
      <c r="O311" t="str">
        <f t="shared" si="37"/>
        <v>DOWN</v>
      </c>
      <c r="P311">
        <v>49.030294037162797</v>
      </c>
      <c r="Q311">
        <v>0.17516955650732</v>
      </c>
      <c r="R311" t="str">
        <f t="shared" si="38"/>
        <v>UP</v>
      </c>
      <c r="S311">
        <v>1.1711000204086299</v>
      </c>
      <c r="T311" t="str">
        <f t="shared" si="32"/>
        <v>UP</v>
      </c>
      <c r="U311">
        <v>1.16925001144409</v>
      </c>
      <c r="V311" t="str">
        <f t="shared" si="39"/>
        <v>UP</v>
      </c>
      <c r="W311">
        <v>1.1722999811172401</v>
      </c>
      <c r="X311" t="str">
        <f t="shared" si="33"/>
        <v>UP</v>
      </c>
      <c r="Y311">
        <v>1.17019999027252</v>
      </c>
      <c r="Z311" t="str">
        <f t="shared" si="34"/>
        <v>UP</v>
      </c>
      <c r="AA311">
        <v>0</v>
      </c>
      <c r="AB311">
        <v>0</v>
      </c>
      <c r="AC311">
        <v>0</v>
      </c>
      <c r="AD311">
        <v>0</v>
      </c>
    </row>
    <row r="312" spans="1:30" hidden="1" x14ac:dyDescent="0.35">
      <c r="A312" s="2">
        <v>45895</v>
      </c>
      <c r="B312" t="s">
        <v>21</v>
      </c>
      <c r="C312">
        <v>1.17359995841979</v>
      </c>
      <c r="D312">
        <v>1.17400002479553</v>
      </c>
      <c r="E312">
        <v>1.1722500324249201</v>
      </c>
      <c r="F312">
        <v>1.1727000474929801</v>
      </c>
      <c r="G312">
        <v>344</v>
      </c>
      <c r="H312">
        <v>1.17160999774932</v>
      </c>
      <c r="I312">
        <v>5.9998035430908203E-4</v>
      </c>
      <c r="J312" t="str">
        <f t="shared" si="35"/>
        <v>UP</v>
      </c>
      <c r="K312">
        <v>1.17459899663925</v>
      </c>
      <c r="L312">
        <v>1.19998455047509E-4</v>
      </c>
      <c r="M312" t="str">
        <f t="shared" si="36"/>
        <v>UP</v>
      </c>
      <c r="N312">
        <v>-2.98899888992298E-3</v>
      </c>
      <c r="O312" t="str">
        <f t="shared" si="37"/>
        <v>DOWN</v>
      </c>
      <c r="P312">
        <v>53.327819183683701</v>
      </c>
      <c r="Q312">
        <v>4.2975251465209201</v>
      </c>
      <c r="R312" t="str">
        <f t="shared" si="38"/>
        <v>UP</v>
      </c>
      <c r="S312">
        <v>1.1720000505447301</v>
      </c>
      <c r="T312" t="str">
        <f t="shared" si="32"/>
        <v>UP</v>
      </c>
      <c r="U312">
        <v>1.1711000204086299</v>
      </c>
      <c r="V312" t="str">
        <f t="shared" si="39"/>
        <v>UP</v>
      </c>
      <c r="W312">
        <v>1.1726000308990401</v>
      </c>
      <c r="X312" t="str">
        <f t="shared" si="33"/>
        <v>UP</v>
      </c>
      <c r="Y312">
        <v>1.1722999811172401</v>
      </c>
      <c r="Z312" t="str">
        <f t="shared" si="34"/>
        <v>UP</v>
      </c>
      <c r="AA312">
        <v>0</v>
      </c>
      <c r="AB312">
        <v>0</v>
      </c>
      <c r="AC312">
        <v>0</v>
      </c>
      <c r="AD312">
        <v>0</v>
      </c>
    </row>
    <row r="313" spans="1:30" hidden="1" x14ac:dyDescent="0.35">
      <c r="A313" s="2">
        <v>45895</v>
      </c>
      <c r="B313" t="s">
        <v>22</v>
      </c>
      <c r="C313">
        <v>1.1727499961853001</v>
      </c>
      <c r="D313">
        <v>1.17400002479553</v>
      </c>
      <c r="E313">
        <v>1.1726000308990401</v>
      </c>
      <c r="F313">
        <v>1.17344999313354</v>
      </c>
      <c r="G313">
        <v>186</v>
      </c>
      <c r="H313">
        <v>1.1721699953079201</v>
      </c>
      <c r="I313">
        <v>5.5999755859370505E-4</v>
      </c>
      <c r="J313" t="str">
        <f t="shared" si="35"/>
        <v>UP</v>
      </c>
      <c r="K313">
        <v>1.1746929955482399</v>
      </c>
      <c r="L313" s="1">
        <v>9.3998908996750704E-5</v>
      </c>
      <c r="M313" t="str">
        <f t="shared" si="36"/>
        <v>UP</v>
      </c>
      <c r="N313">
        <v>-2.52300024032603E-3</v>
      </c>
      <c r="O313" t="str">
        <f t="shared" si="37"/>
        <v>DOWN</v>
      </c>
      <c r="P313">
        <v>50.226509907385697</v>
      </c>
      <c r="Q313">
        <v>-3.1013092762980099</v>
      </c>
      <c r="R313" t="str">
        <f t="shared" si="38"/>
        <v>DOWN</v>
      </c>
      <c r="S313">
        <v>1.1722500324249201</v>
      </c>
      <c r="T313" t="str">
        <f t="shared" si="32"/>
        <v>UP</v>
      </c>
      <c r="U313">
        <v>1.1720000505447301</v>
      </c>
      <c r="V313" t="str">
        <f t="shared" si="39"/>
        <v>UP</v>
      </c>
      <c r="W313">
        <v>1.17400002479553</v>
      </c>
      <c r="X313" t="str">
        <f t="shared" si="33"/>
        <v>DOWN</v>
      </c>
      <c r="Y313">
        <v>1.1726000308990401</v>
      </c>
      <c r="Z313" t="str">
        <f t="shared" si="34"/>
        <v>UP</v>
      </c>
      <c r="AA313">
        <v>0</v>
      </c>
      <c r="AB313">
        <v>0</v>
      </c>
      <c r="AC313">
        <v>0</v>
      </c>
      <c r="AD313">
        <v>0</v>
      </c>
    </row>
    <row r="314" spans="1:30" hidden="1" x14ac:dyDescent="0.35">
      <c r="A314" s="2">
        <v>45895</v>
      </c>
      <c r="B314" t="s">
        <v>23</v>
      </c>
      <c r="C314">
        <v>1.1732499599456701</v>
      </c>
      <c r="D314">
        <v>1.17334997653961</v>
      </c>
      <c r="E314">
        <v>1.1720000505447301</v>
      </c>
      <c r="F314">
        <v>1.1724499464035001</v>
      </c>
      <c r="G314">
        <v>347</v>
      </c>
      <c r="H314">
        <v>1.17284998893737</v>
      </c>
      <c r="I314">
        <v>6.7999362945569898E-4</v>
      </c>
      <c r="J314" t="str">
        <f t="shared" si="35"/>
        <v>UP</v>
      </c>
      <c r="K314">
        <v>1.1748019957542399</v>
      </c>
      <c r="L314">
        <v>1.09000205993581E-4</v>
      </c>
      <c r="M314" t="str">
        <f t="shared" si="36"/>
        <v>UP</v>
      </c>
      <c r="N314">
        <v>-1.9520068168639099E-3</v>
      </c>
      <c r="O314" t="str">
        <f t="shared" si="37"/>
        <v>DOWN</v>
      </c>
      <c r="P314">
        <v>51.994994803655899</v>
      </c>
      <c r="Q314">
        <v>1.7684848962702</v>
      </c>
      <c r="R314" t="str">
        <f t="shared" si="38"/>
        <v>UP</v>
      </c>
      <c r="S314">
        <v>1.1726000308990401</v>
      </c>
      <c r="T314" t="str">
        <f t="shared" si="32"/>
        <v>DOWN</v>
      </c>
      <c r="U314">
        <v>1.1722500324249201</v>
      </c>
      <c r="V314" t="str">
        <f t="shared" si="39"/>
        <v>DOWN</v>
      </c>
      <c r="W314">
        <v>1.17400002479553</v>
      </c>
      <c r="X314" t="str">
        <f t="shared" si="33"/>
        <v>DOWN</v>
      </c>
      <c r="Y314">
        <v>1.17400002479553</v>
      </c>
      <c r="Z314" t="str">
        <f t="shared" si="34"/>
        <v>DOWN</v>
      </c>
      <c r="AA314">
        <v>0</v>
      </c>
      <c r="AB314">
        <v>0</v>
      </c>
      <c r="AC314">
        <v>0</v>
      </c>
      <c r="AD314">
        <v>0</v>
      </c>
    </row>
    <row r="315" spans="1:30" hidden="1" x14ac:dyDescent="0.35">
      <c r="A315" s="2">
        <v>45895</v>
      </c>
      <c r="B315" t="s">
        <v>24</v>
      </c>
      <c r="C315">
        <v>1.17344999313354</v>
      </c>
      <c r="D315">
        <v>1.17429995536804</v>
      </c>
      <c r="E315">
        <v>1.1723999977111801</v>
      </c>
      <c r="F315">
        <v>1.1729999780654901</v>
      </c>
      <c r="G315">
        <v>384</v>
      </c>
      <c r="H315">
        <v>1.17307999134063</v>
      </c>
      <c r="I315">
        <v>2.30002403259099E-4</v>
      </c>
      <c r="J315" t="str">
        <f t="shared" si="35"/>
        <v>UP</v>
      </c>
      <c r="K315">
        <v>1.1749159955978301</v>
      </c>
      <c r="L315">
        <v>1.1399984359750001E-4</v>
      </c>
      <c r="M315" t="str">
        <f t="shared" si="36"/>
        <v>UP</v>
      </c>
      <c r="N315">
        <v>-1.83600425720231E-3</v>
      </c>
      <c r="O315" t="str">
        <f t="shared" si="37"/>
        <v>DOWN</v>
      </c>
      <c r="P315">
        <v>52.718829987839399</v>
      </c>
      <c r="Q315">
        <v>0.72383518418349901</v>
      </c>
      <c r="R315" t="str">
        <f t="shared" si="38"/>
        <v>UP</v>
      </c>
      <c r="S315">
        <v>1.1720000505447301</v>
      </c>
      <c r="T315" t="str">
        <f t="shared" si="32"/>
        <v>UP</v>
      </c>
      <c r="U315">
        <v>1.1726000308990401</v>
      </c>
      <c r="V315" t="str">
        <f t="shared" si="39"/>
        <v>DOWN</v>
      </c>
      <c r="W315">
        <v>1.17334997653961</v>
      </c>
      <c r="X315" t="str">
        <f t="shared" si="33"/>
        <v>UP</v>
      </c>
      <c r="Y315">
        <v>1.17400002479553</v>
      </c>
      <c r="Z315" t="str">
        <f t="shared" si="34"/>
        <v>UP</v>
      </c>
      <c r="AA315">
        <v>0</v>
      </c>
      <c r="AB315">
        <v>0</v>
      </c>
      <c r="AC315">
        <v>0</v>
      </c>
      <c r="AD315">
        <v>0</v>
      </c>
    </row>
    <row r="316" spans="1:30" hidden="1" x14ac:dyDescent="0.35">
      <c r="A316" s="2">
        <v>45895</v>
      </c>
      <c r="B316" t="s">
        <v>25</v>
      </c>
      <c r="C316">
        <v>1.17349994182586</v>
      </c>
      <c r="D316">
        <v>1.17435002326965</v>
      </c>
      <c r="E316">
        <v>1.1729500293731601</v>
      </c>
      <c r="F316">
        <v>1.17340004444122</v>
      </c>
      <c r="G316">
        <v>272</v>
      </c>
      <c r="H316">
        <v>1.17330996990203</v>
      </c>
      <c r="I316">
        <v>2.2997856140150001E-4</v>
      </c>
      <c r="J316" t="str">
        <f t="shared" si="35"/>
        <v>UP</v>
      </c>
      <c r="K316">
        <v>1.1750119948387101</v>
      </c>
      <c r="L316" s="1">
        <v>9.59992408751109E-5</v>
      </c>
      <c r="M316" t="str">
        <f t="shared" si="36"/>
        <v>UP</v>
      </c>
      <c r="N316">
        <v>-1.7020249366759201E-3</v>
      </c>
      <c r="O316" t="str">
        <f t="shared" si="37"/>
        <v>DOWN</v>
      </c>
      <c r="P316">
        <v>52.909767278173</v>
      </c>
      <c r="Q316">
        <v>0.19093729033360701</v>
      </c>
      <c r="R316" t="str">
        <f t="shared" si="38"/>
        <v>UP</v>
      </c>
      <c r="S316">
        <v>1.1723999977111801</v>
      </c>
      <c r="T316" t="str">
        <f t="shared" si="32"/>
        <v>UP</v>
      </c>
      <c r="U316">
        <v>1.1720000505447301</v>
      </c>
      <c r="V316" t="str">
        <f t="shared" si="39"/>
        <v>UP</v>
      </c>
      <c r="W316">
        <v>1.17429995536804</v>
      </c>
      <c r="X316" t="str">
        <f t="shared" si="33"/>
        <v>UP</v>
      </c>
      <c r="Y316">
        <v>1.17334997653961</v>
      </c>
      <c r="Z316" t="str">
        <f t="shared" si="34"/>
        <v>UP</v>
      </c>
      <c r="AA316">
        <v>1</v>
      </c>
      <c r="AB316">
        <v>0</v>
      </c>
      <c r="AC316">
        <v>0</v>
      </c>
      <c r="AD316">
        <v>0</v>
      </c>
    </row>
    <row r="317" spans="1:30" hidden="1" x14ac:dyDescent="0.35">
      <c r="A317" s="2">
        <v>45895</v>
      </c>
      <c r="B317" t="s">
        <v>26</v>
      </c>
      <c r="C317">
        <v>1.17330002784729</v>
      </c>
      <c r="D317">
        <v>1.17400002479553</v>
      </c>
      <c r="E317">
        <v>1.1732000112533501</v>
      </c>
      <c r="F317">
        <v>1.17359995841979</v>
      </c>
      <c r="G317">
        <v>0</v>
      </c>
      <c r="H317">
        <v>1.1732499837875301</v>
      </c>
      <c r="I317" s="1">
        <v>-5.9986114502086298E-5</v>
      </c>
      <c r="J317" t="str">
        <f t="shared" si="35"/>
        <v>DOWN</v>
      </c>
      <c r="K317">
        <v>1.17509499549865</v>
      </c>
      <c r="L317" s="1">
        <v>8.3000659942600294E-5</v>
      </c>
      <c r="M317" t="str">
        <f t="shared" si="36"/>
        <v>UP</v>
      </c>
      <c r="N317">
        <v>-1.84501171112061E-3</v>
      </c>
      <c r="O317" t="str">
        <f t="shared" si="37"/>
        <v>DOWN</v>
      </c>
      <c r="P317">
        <v>52.004560712662901</v>
      </c>
      <c r="Q317">
        <v>-0.90520656551009104</v>
      </c>
      <c r="R317" t="str">
        <f t="shared" si="38"/>
        <v>DOWN</v>
      </c>
      <c r="S317">
        <v>1.1729500293731601</v>
      </c>
      <c r="T317" t="str">
        <f t="shared" si="32"/>
        <v>UP</v>
      </c>
      <c r="U317">
        <v>1.1723999977111801</v>
      </c>
      <c r="V317" t="str">
        <f t="shared" si="39"/>
        <v>UP</v>
      </c>
      <c r="W317">
        <v>1.17435002326965</v>
      </c>
      <c r="X317" t="str">
        <f t="shared" si="33"/>
        <v>DOWN</v>
      </c>
      <c r="Y317">
        <v>1.17429995536804</v>
      </c>
      <c r="Z317" t="str">
        <f t="shared" si="34"/>
        <v>DOWN</v>
      </c>
      <c r="AA317">
        <v>0</v>
      </c>
      <c r="AB317">
        <v>0</v>
      </c>
      <c r="AC317">
        <v>0</v>
      </c>
      <c r="AD317">
        <v>0</v>
      </c>
    </row>
    <row r="318" spans="1:30" hidden="1" x14ac:dyDescent="0.35">
      <c r="A318" s="2">
        <v>45895</v>
      </c>
      <c r="B318" t="s">
        <v>27</v>
      </c>
      <c r="C318">
        <v>1.1719499826431199</v>
      </c>
      <c r="D318">
        <v>1.1730500459671001</v>
      </c>
      <c r="E318">
        <v>1.1719499826431199</v>
      </c>
      <c r="F318">
        <v>1.1728999614715501</v>
      </c>
      <c r="G318">
        <v>2266</v>
      </c>
      <c r="H318">
        <v>1.1730899810791</v>
      </c>
      <c r="I318">
        <v>-1.6000270843496899E-4</v>
      </c>
      <c r="J318" t="str">
        <f t="shared" si="35"/>
        <v>DOWN</v>
      </c>
      <c r="K318">
        <v>1.17517199516296</v>
      </c>
      <c r="L318" s="1">
        <v>7.6999664306631703E-5</v>
      </c>
      <c r="M318" t="str">
        <f t="shared" si="36"/>
        <v>UP</v>
      </c>
      <c r="N318">
        <v>-2.0820140838622098E-3</v>
      </c>
      <c r="O318" t="str">
        <f t="shared" si="37"/>
        <v>DOWN</v>
      </c>
      <c r="P318">
        <v>46.249985433738402</v>
      </c>
      <c r="Q318">
        <v>-5.7545752789245297</v>
      </c>
      <c r="R318" t="str">
        <f t="shared" si="38"/>
        <v>DOWN</v>
      </c>
      <c r="S318">
        <v>1.1732000112533501</v>
      </c>
      <c r="T318" t="str">
        <f t="shared" si="32"/>
        <v>DOWN</v>
      </c>
      <c r="U318">
        <v>1.1729500293731601</v>
      </c>
      <c r="V318" t="str">
        <f t="shared" si="39"/>
        <v>DOWN</v>
      </c>
      <c r="W318">
        <v>1.17400002479553</v>
      </c>
      <c r="X318" t="str">
        <f t="shared" si="33"/>
        <v>DOWN</v>
      </c>
      <c r="Y318">
        <v>1.17435002326965</v>
      </c>
      <c r="Z318" t="str">
        <f t="shared" si="34"/>
        <v>DOWN</v>
      </c>
      <c r="AA318">
        <v>0</v>
      </c>
      <c r="AB318">
        <v>0</v>
      </c>
      <c r="AC318">
        <v>0</v>
      </c>
      <c r="AD318">
        <v>0</v>
      </c>
    </row>
    <row r="319" spans="1:30" hidden="1" x14ac:dyDescent="0.35">
      <c r="A319" s="2">
        <v>45895</v>
      </c>
      <c r="B319" t="s">
        <v>38</v>
      </c>
      <c r="C319">
        <v>1.1722999811172401</v>
      </c>
      <c r="D319">
        <v>1.1726499795913601</v>
      </c>
      <c r="E319">
        <v>1.1714999675750699</v>
      </c>
      <c r="F319">
        <v>1.1718499660491899</v>
      </c>
      <c r="G319">
        <v>300</v>
      </c>
      <c r="H319">
        <v>1.1728999853134101</v>
      </c>
      <c r="I319">
        <v>-1.89995765686123E-4</v>
      </c>
      <c r="J319" t="str">
        <f t="shared" si="35"/>
        <v>DOWN</v>
      </c>
      <c r="K319">
        <v>1.1750189948081899</v>
      </c>
      <c r="L319">
        <v>-1.5300035476673E-4</v>
      </c>
      <c r="M319" t="str">
        <f t="shared" si="36"/>
        <v>DOWN</v>
      </c>
      <c r="N319">
        <v>-2.1190094947816001E-3</v>
      </c>
      <c r="O319" t="str">
        <f t="shared" si="37"/>
        <v>DOWN</v>
      </c>
      <c r="P319">
        <v>47.860775471622901</v>
      </c>
      <c r="Q319">
        <v>1.6107900378845501</v>
      </c>
      <c r="R319" t="str">
        <f t="shared" si="38"/>
        <v>UP</v>
      </c>
      <c r="S319">
        <v>1.1719499826431199</v>
      </c>
      <c r="T319" t="str">
        <f t="shared" si="32"/>
        <v>DOWN</v>
      </c>
      <c r="U319">
        <v>1.1732000112533501</v>
      </c>
      <c r="V319" t="str">
        <f t="shared" si="39"/>
        <v>DOWN</v>
      </c>
      <c r="W319">
        <v>1.1730500459671001</v>
      </c>
      <c r="X319" t="str">
        <f t="shared" si="33"/>
        <v>DOWN</v>
      </c>
      <c r="Y319">
        <v>1.17400002479553</v>
      </c>
      <c r="Z319" t="str">
        <f t="shared" si="34"/>
        <v>DOWN</v>
      </c>
      <c r="AA319">
        <v>0</v>
      </c>
      <c r="AB319">
        <v>0</v>
      </c>
      <c r="AC319">
        <v>0</v>
      </c>
      <c r="AD319">
        <v>0</v>
      </c>
    </row>
    <row r="320" spans="1:30" hidden="1" x14ac:dyDescent="0.35">
      <c r="A320" s="2">
        <v>45895</v>
      </c>
      <c r="B320" t="s">
        <v>28</v>
      </c>
      <c r="C320">
        <v>1.1720999479293801</v>
      </c>
      <c r="D320">
        <v>1.1727999448776201</v>
      </c>
      <c r="E320">
        <v>1.1720999479293801</v>
      </c>
      <c r="F320">
        <v>1.1723500490188501</v>
      </c>
      <c r="G320">
        <v>24</v>
      </c>
      <c r="H320">
        <v>1.17262997627258</v>
      </c>
      <c r="I320">
        <v>-2.7000904083251899E-4</v>
      </c>
      <c r="J320" t="str">
        <f t="shared" si="35"/>
        <v>DOWN</v>
      </c>
      <c r="K320">
        <v>1.17487099409103</v>
      </c>
      <c r="L320">
        <v>-1.48000717163032E-4</v>
      </c>
      <c r="M320" t="str">
        <f t="shared" si="36"/>
        <v>DOWN</v>
      </c>
      <c r="N320">
        <v>-2.24101781845109E-3</v>
      </c>
      <c r="O320" t="str">
        <f t="shared" si="37"/>
        <v>DOWN</v>
      </c>
      <c r="P320">
        <v>46.993967200411703</v>
      </c>
      <c r="Q320">
        <v>-0.86680827121124004</v>
      </c>
      <c r="R320" t="str">
        <f t="shared" si="38"/>
        <v>DOWN</v>
      </c>
      <c r="S320">
        <v>1.1714999675750699</v>
      </c>
      <c r="T320" t="str">
        <f t="shared" si="32"/>
        <v>UP</v>
      </c>
      <c r="U320">
        <v>1.1719499826431199</v>
      </c>
      <c r="V320" t="str">
        <f t="shared" si="39"/>
        <v>UP</v>
      </c>
      <c r="W320">
        <v>1.1726499795913601</v>
      </c>
      <c r="X320" t="str">
        <f t="shared" si="33"/>
        <v>UP</v>
      </c>
      <c r="Y320">
        <v>1.1730500459671001</v>
      </c>
      <c r="Z320" t="str">
        <f t="shared" si="34"/>
        <v>DOWN</v>
      </c>
      <c r="AA320">
        <v>0</v>
      </c>
      <c r="AB320">
        <v>0</v>
      </c>
      <c r="AC320">
        <v>0</v>
      </c>
      <c r="AD320">
        <v>0</v>
      </c>
    </row>
    <row r="321" spans="1:30" hidden="1" x14ac:dyDescent="0.35">
      <c r="A321" s="2">
        <v>45895</v>
      </c>
      <c r="B321" t="s">
        <v>39</v>
      </c>
      <c r="C321">
        <v>1.1722999811172401</v>
      </c>
      <c r="D321">
        <v>1.1722999811172401</v>
      </c>
      <c r="E321">
        <v>1.1714999675750699</v>
      </c>
      <c r="F321">
        <v>1.1716500520706099</v>
      </c>
      <c r="G321">
        <v>37</v>
      </c>
      <c r="H321">
        <v>1.17238998413085</v>
      </c>
      <c r="I321">
        <v>-2.3999214172354399E-4</v>
      </c>
      <c r="J321" t="str">
        <f t="shared" si="35"/>
        <v>DOWN</v>
      </c>
      <c r="K321">
        <v>1.1747109937667799</v>
      </c>
      <c r="L321">
        <v>-1.6000032424945399E-4</v>
      </c>
      <c r="M321" t="str">
        <f t="shared" si="36"/>
        <v>DOWN</v>
      </c>
      <c r="N321">
        <v>-2.3210096359251799E-3</v>
      </c>
      <c r="O321" t="str">
        <f t="shared" si="37"/>
        <v>DOWN</v>
      </c>
      <c r="P321">
        <v>48.008028674667699</v>
      </c>
      <c r="Q321">
        <v>1.0140614742559799</v>
      </c>
      <c r="R321" t="str">
        <f t="shared" si="38"/>
        <v>UP</v>
      </c>
      <c r="S321">
        <v>1.1720999479293801</v>
      </c>
      <c r="T321" t="str">
        <f t="shared" si="32"/>
        <v>DOWN</v>
      </c>
      <c r="U321">
        <v>1.1714999675750699</v>
      </c>
      <c r="V321" t="str">
        <f t="shared" si="39"/>
        <v>UP</v>
      </c>
      <c r="W321">
        <v>1.1727999448776201</v>
      </c>
      <c r="X321" t="str">
        <f t="shared" si="33"/>
        <v>DOWN</v>
      </c>
      <c r="Y321">
        <v>1.1726499795913601</v>
      </c>
      <c r="Z321" t="str">
        <f t="shared" si="34"/>
        <v>DOWN</v>
      </c>
      <c r="AA321">
        <v>0</v>
      </c>
      <c r="AB321">
        <v>0</v>
      </c>
      <c r="AC321">
        <v>0</v>
      </c>
      <c r="AD321">
        <v>0</v>
      </c>
    </row>
    <row r="322" spans="1:30" hidden="1" x14ac:dyDescent="0.35">
      <c r="A322" s="2">
        <v>45895</v>
      </c>
      <c r="B322" t="s">
        <v>40</v>
      </c>
      <c r="C322">
        <v>1.1722999811172401</v>
      </c>
      <c r="D322">
        <v>1.1723999977111801</v>
      </c>
      <c r="E322">
        <v>1.1722999811172401</v>
      </c>
      <c r="F322">
        <v>1.1723999977111801</v>
      </c>
      <c r="G322">
        <v>0</v>
      </c>
      <c r="H322">
        <v>1.1721899747848501</v>
      </c>
      <c r="I322">
        <v>-2.00009346008389E-4</v>
      </c>
      <c r="J322" t="str">
        <f t="shared" si="35"/>
        <v>DOWN</v>
      </c>
      <c r="K322">
        <v>1.1745119929313601</v>
      </c>
      <c r="L322">
        <v>-1.99000835418683E-4</v>
      </c>
      <c r="M322" t="str">
        <f t="shared" si="36"/>
        <v>DOWN</v>
      </c>
      <c r="N322">
        <v>-2.32201814651489E-3</v>
      </c>
      <c r="O322" t="str">
        <f t="shared" si="37"/>
        <v>DOWN</v>
      </c>
      <c r="P322">
        <v>48.008028674667699</v>
      </c>
      <c r="Q322">
        <v>0</v>
      </c>
      <c r="R322" t="str">
        <f t="shared" si="38"/>
        <v>DOWN</v>
      </c>
      <c r="S322">
        <v>1.1714999675750699</v>
      </c>
      <c r="T322" t="str">
        <f t="shared" ref="T322:T385" si="40">IF((E322-S322)&lt;0,"DOWN","UP")</f>
        <v>UP</v>
      </c>
      <c r="U322">
        <v>1.1720999479293801</v>
      </c>
      <c r="V322" t="str">
        <f t="shared" si="39"/>
        <v>UP</v>
      </c>
      <c r="W322">
        <v>1.1722999811172401</v>
      </c>
      <c r="X322" t="str">
        <f t="shared" ref="X322:X385" si="41">IF((D322-W322)&gt;0,"UP","DOWN")</f>
        <v>UP</v>
      </c>
      <c r="Y322">
        <v>1.1727999448776201</v>
      </c>
      <c r="Z322" t="str">
        <f t="shared" ref="Z322:Z385" si="42">IF((D322-Y322)&gt;0,"UP","DOWN")</f>
        <v>DOWN</v>
      </c>
      <c r="AA322">
        <v>0</v>
      </c>
      <c r="AB322">
        <v>0</v>
      </c>
      <c r="AC322">
        <v>0</v>
      </c>
      <c r="AD322">
        <v>0</v>
      </c>
    </row>
    <row r="323" spans="1:30" hidden="1" x14ac:dyDescent="0.35">
      <c r="A323" s="2">
        <v>45895</v>
      </c>
      <c r="B323" t="s">
        <v>42</v>
      </c>
      <c r="C323">
        <v>1.1718499660491899</v>
      </c>
      <c r="D323">
        <v>1.1720999479293801</v>
      </c>
      <c r="E323">
        <v>1.1718499660491899</v>
      </c>
      <c r="F323">
        <v>1.1720999479293801</v>
      </c>
      <c r="G323">
        <v>30</v>
      </c>
      <c r="H323">
        <v>1.1721699714660601</v>
      </c>
      <c r="I323" s="1">
        <v>-2.0003318786487799E-5</v>
      </c>
      <c r="J323" t="str">
        <f t="shared" ref="J323:J386" si="43">IF(I323&gt;0,"UP","DOWN")</f>
        <v>DOWN</v>
      </c>
      <c r="K323">
        <v>1.17433899164199</v>
      </c>
      <c r="L323">
        <v>-1.7300128936748E-4</v>
      </c>
      <c r="M323" t="str">
        <f t="shared" ref="M323:M386" si="44">IF(L323&gt;0,"UP","DOWN")</f>
        <v>DOWN</v>
      </c>
      <c r="N323">
        <v>-2.1690201759339001E-3</v>
      </c>
      <c r="O323" t="str">
        <f t="shared" ref="O323:O386" si="45">IF(N323&gt;0,"UP","DOWN")</f>
        <v>DOWN</v>
      </c>
      <c r="P323">
        <v>45.725622290784997</v>
      </c>
      <c r="Q323">
        <v>-2.2824063838826998</v>
      </c>
      <c r="R323" t="str">
        <f t="shared" ref="R323:R386" si="46">IF(Q323&gt;0,"UP","DOWN")</f>
        <v>DOWN</v>
      </c>
      <c r="S323">
        <v>1.1722999811172401</v>
      </c>
      <c r="T323" t="str">
        <f t="shared" si="40"/>
        <v>DOWN</v>
      </c>
      <c r="U323">
        <v>1.1714999675750699</v>
      </c>
      <c r="V323" t="str">
        <f t="shared" ref="V323:V386" si="47">IF((E323-U323)&lt;0,"DOWN","UP")</f>
        <v>UP</v>
      </c>
      <c r="W323">
        <v>1.1723999977111801</v>
      </c>
      <c r="X323" t="str">
        <f t="shared" si="41"/>
        <v>DOWN</v>
      </c>
      <c r="Y323">
        <v>1.1722999811172401</v>
      </c>
      <c r="Z323" t="str">
        <f t="shared" si="42"/>
        <v>DOWN</v>
      </c>
      <c r="AA323">
        <v>0</v>
      </c>
      <c r="AB323">
        <v>0</v>
      </c>
      <c r="AC323">
        <v>0</v>
      </c>
      <c r="AD323">
        <v>0</v>
      </c>
    </row>
    <row r="324" spans="1:30" hidden="1" x14ac:dyDescent="0.35">
      <c r="A324" s="2">
        <v>45896</v>
      </c>
      <c r="B324" t="s">
        <v>29</v>
      </c>
      <c r="C324">
        <v>1.1714999675750699</v>
      </c>
      <c r="D324">
        <v>1.1715500354766799</v>
      </c>
      <c r="E324">
        <v>1.1714999675750699</v>
      </c>
      <c r="F324">
        <v>1.1715500354766799</v>
      </c>
      <c r="G324">
        <v>6</v>
      </c>
      <c r="H324">
        <v>1.17200996875762</v>
      </c>
      <c r="I324">
        <v>-1.6000270843519101E-4</v>
      </c>
      <c r="J324" t="str">
        <f t="shared" si="43"/>
        <v>DOWN</v>
      </c>
      <c r="K324">
        <v>1.1741679906845</v>
      </c>
      <c r="L324">
        <v>-1.7100095748912001E-4</v>
      </c>
      <c r="M324" t="str">
        <f t="shared" si="44"/>
        <v>DOWN</v>
      </c>
      <c r="N324">
        <v>-2.1580219268799699E-3</v>
      </c>
      <c r="O324" t="str">
        <f t="shared" si="45"/>
        <v>DOWN</v>
      </c>
      <c r="P324">
        <v>43.974549197144697</v>
      </c>
      <c r="Q324">
        <v>-1.7510730936402401</v>
      </c>
      <c r="R324" t="str">
        <f t="shared" si="46"/>
        <v>DOWN</v>
      </c>
      <c r="S324">
        <v>1.1718499660491899</v>
      </c>
      <c r="T324" t="str">
        <f t="shared" si="40"/>
        <v>DOWN</v>
      </c>
      <c r="U324">
        <v>1.1722999811172401</v>
      </c>
      <c r="V324" t="str">
        <f t="shared" si="47"/>
        <v>DOWN</v>
      </c>
      <c r="W324">
        <v>1.1720999479293801</v>
      </c>
      <c r="X324" t="str">
        <f t="shared" si="41"/>
        <v>DOWN</v>
      </c>
      <c r="Y324">
        <v>1.1723999977111801</v>
      </c>
      <c r="Z324" t="str">
        <f t="shared" si="42"/>
        <v>DOWN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s="2">
        <v>45896</v>
      </c>
      <c r="B325" t="s">
        <v>30</v>
      </c>
      <c r="C325">
        <v>1.1714999675750699</v>
      </c>
      <c r="D325">
        <v>1.1720000505447301</v>
      </c>
      <c r="E325">
        <v>1.1713999509811399</v>
      </c>
      <c r="F325">
        <v>1.1719499826431199</v>
      </c>
      <c r="G325">
        <v>8</v>
      </c>
      <c r="H325">
        <v>1.17188997268676</v>
      </c>
      <c r="I325">
        <v>-1.19996070861772E-4</v>
      </c>
      <c r="J325" t="str">
        <f t="shared" si="43"/>
        <v>DOWN</v>
      </c>
      <c r="K325">
        <v>1.1739909911155699</v>
      </c>
      <c r="L325">
        <v>-1.7699956893912899E-4</v>
      </c>
      <c r="M325" t="str">
        <f t="shared" si="44"/>
        <v>DOWN</v>
      </c>
      <c r="N325">
        <v>-2.1010184288026098E-3</v>
      </c>
      <c r="O325" t="str">
        <f t="shared" si="45"/>
        <v>DOWN</v>
      </c>
      <c r="P325">
        <v>43.974549197144697</v>
      </c>
      <c r="Q325">
        <v>0</v>
      </c>
      <c r="R325" t="str">
        <f t="shared" si="46"/>
        <v>DOWN</v>
      </c>
      <c r="S325">
        <v>1.1714999675750699</v>
      </c>
      <c r="T325" t="str">
        <f t="shared" si="40"/>
        <v>DOWN</v>
      </c>
      <c r="U325">
        <v>1.1718499660491899</v>
      </c>
      <c r="V325" t="str">
        <f t="shared" si="47"/>
        <v>DOWN</v>
      </c>
      <c r="W325">
        <v>1.1715500354766799</v>
      </c>
      <c r="X325" t="str">
        <f t="shared" si="41"/>
        <v>UP</v>
      </c>
      <c r="Y325">
        <v>1.1720999479293801</v>
      </c>
      <c r="Z325" t="str">
        <f t="shared" si="42"/>
        <v>DOWN</v>
      </c>
      <c r="AA325">
        <v>1</v>
      </c>
      <c r="AB325">
        <v>0</v>
      </c>
      <c r="AC325">
        <v>0</v>
      </c>
      <c r="AD325">
        <v>0</v>
      </c>
    </row>
    <row r="326" spans="1:30" hidden="1" x14ac:dyDescent="0.35">
      <c r="A326" s="2">
        <v>45896</v>
      </c>
      <c r="B326" t="s">
        <v>31</v>
      </c>
      <c r="C326">
        <v>1.1710000038146899</v>
      </c>
      <c r="D326">
        <v>1.1710000038146899</v>
      </c>
      <c r="E326">
        <v>1.17044997215271</v>
      </c>
      <c r="F326">
        <v>1.1709500551223699</v>
      </c>
      <c r="G326">
        <v>21</v>
      </c>
      <c r="H326">
        <v>1.17162997722625</v>
      </c>
      <c r="I326">
        <v>-2.5999546051025298E-4</v>
      </c>
      <c r="J326" t="str">
        <f t="shared" si="43"/>
        <v>DOWN</v>
      </c>
      <c r="K326">
        <v>1.1738229918479901</v>
      </c>
      <c r="L326">
        <v>-1.67999267578267E-4</v>
      </c>
      <c r="M326" t="str">
        <f t="shared" si="44"/>
        <v>DOWN</v>
      </c>
      <c r="N326">
        <v>-2.1930146217346001E-3</v>
      </c>
      <c r="O326" t="str">
        <f t="shared" si="45"/>
        <v>DOWN</v>
      </c>
      <c r="P326">
        <v>41.3510954542378</v>
      </c>
      <c r="Q326">
        <v>-2.6234537429069098</v>
      </c>
      <c r="R326" t="str">
        <f t="shared" si="46"/>
        <v>DOWN</v>
      </c>
      <c r="S326">
        <v>1.1713999509811399</v>
      </c>
      <c r="T326" t="str">
        <f t="shared" si="40"/>
        <v>DOWN</v>
      </c>
      <c r="U326">
        <v>1.1714999675750699</v>
      </c>
      <c r="V326" t="str">
        <f t="shared" si="47"/>
        <v>DOWN</v>
      </c>
      <c r="W326">
        <v>1.1720000505447301</v>
      </c>
      <c r="X326" t="str">
        <f t="shared" si="41"/>
        <v>DOWN</v>
      </c>
      <c r="Y326">
        <v>1.1715500354766799</v>
      </c>
      <c r="Z326" t="str">
        <f t="shared" si="42"/>
        <v>DOWN</v>
      </c>
      <c r="AA326">
        <v>0</v>
      </c>
      <c r="AB326">
        <v>0</v>
      </c>
      <c r="AC326">
        <v>0</v>
      </c>
      <c r="AD326">
        <v>0</v>
      </c>
    </row>
    <row r="327" spans="1:30" hidden="1" x14ac:dyDescent="0.35">
      <c r="A327" s="2">
        <v>45896</v>
      </c>
      <c r="B327" t="s">
        <v>32</v>
      </c>
      <c r="C327">
        <v>1.1707999706268299</v>
      </c>
      <c r="D327">
        <v>1.1711499691009499</v>
      </c>
      <c r="E327">
        <v>1.17050004005432</v>
      </c>
      <c r="F327">
        <v>1.1711499691009499</v>
      </c>
      <c r="G327">
        <v>14</v>
      </c>
      <c r="H327">
        <v>1.1713299751281701</v>
      </c>
      <c r="I327">
        <v>-3.0000209808345098E-4</v>
      </c>
      <c r="J327" t="str">
        <f t="shared" si="43"/>
        <v>DOWN</v>
      </c>
      <c r="K327">
        <v>1.1736569905281</v>
      </c>
      <c r="L327">
        <v>-1.6600131988519999E-4</v>
      </c>
      <c r="M327" t="str">
        <f t="shared" si="44"/>
        <v>DOWN</v>
      </c>
      <c r="N327">
        <v>-2.3270153999328498E-3</v>
      </c>
      <c r="O327" t="str">
        <f t="shared" si="45"/>
        <v>DOWN</v>
      </c>
      <c r="P327">
        <v>40.314797335587002</v>
      </c>
      <c r="Q327">
        <v>-1.03629811865077</v>
      </c>
      <c r="R327" t="str">
        <f t="shared" si="46"/>
        <v>DOWN</v>
      </c>
      <c r="S327">
        <v>1.17044997215271</v>
      </c>
      <c r="T327" t="str">
        <f t="shared" si="40"/>
        <v>UP</v>
      </c>
      <c r="U327">
        <v>1.1713999509811399</v>
      </c>
      <c r="V327" t="str">
        <f t="shared" si="47"/>
        <v>DOWN</v>
      </c>
      <c r="W327">
        <v>1.1710000038146899</v>
      </c>
      <c r="X327" t="str">
        <f t="shared" si="41"/>
        <v>UP</v>
      </c>
      <c r="Y327">
        <v>1.1720000505447301</v>
      </c>
      <c r="Z327" t="str">
        <f t="shared" si="42"/>
        <v>DOWN</v>
      </c>
      <c r="AA327">
        <v>0</v>
      </c>
      <c r="AB327">
        <v>0</v>
      </c>
      <c r="AC327">
        <v>0</v>
      </c>
      <c r="AD327">
        <v>0</v>
      </c>
    </row>
    <row r="328" spans="1:30" hidden="1" x14ac:dyDescent="0.35">
      <c r="A328" s="2">
        <v>45896</v>
      </c>
      <c r="B328" t="s">
        <v>33</v>
      </c>
      <c r="C328">
        <v>1.16919994354248</v>
      </c>
      <c r="D328">
        <v>1.16970002651214</v>
      </c>
      <c r="E328">
        <v>1.16919994354248</v>
      </c>
      <c r="F328">
        <v>1.16949999332427</v>
      </c>
      <c r="G328">
        <v>13</v>
      </c>
      <c r="H328">
        <v>1.1707999706268299</v>
      </c>
      <c r="I328">
        <v>-5.30004501342773E-4</v>
      </c>
      <c r="J328" t="str">
        <f t="shared" si="43"/>
        <v>DOWN</v>
      </c>
      <c r="K328">
        <v>1.17348598957061</v>
      </c>
      <c r="L328">
        <v>-1.7100095748889799E-4</v>
      </c>
      <c r="M328" t="str">
        <f t="shared" si="44"/>
        <v>DOWN</v>
      </c>
      <c r="N328">
        <v>-2.6860189437867199E-3</v>
      </c>
      <c r="O328" t="str">
        <f t="shared" si="45"/>
        <v>DOWN</v>
      </c>
      <c r="P328">
        <v>33.156952780553198</v>
      </c>
      <c r="Q328">
        <v>-7.1578445550338001</v>
      </c>
      <c r="R328" t="str">
        <f t="shared" si="46"/>
        <v>DOWN</v>
      </c>
      <c r="S328">
        <v>1.17050004005432</v>
      </c>
      <c r="T328" t="str">
        <f t="shared" si="40"/>
        <v>DOWN</v>
      </c>
      <c r="U328">
        <v>1.17044997215271</v>
      </c>
      <c r="V328" t="str">
        <f t="shared" si="47"/>
        <v>DOWN</v>
      </c>
      <c r="W328">
        <v>1.1711499691009499</v>
      </c>
      <c r="X328" t="str">
        <f t="shared" si="41"/>
        <v>DOWN</v>
      </c>
      <c r="Y328">
        <v>1.1710000038146899</v>
      </c>
      <c r="Z328" t="str">
        <f t="shared" si="42"/>
        <v>DOWN</v>
      </c>
      <c r="AA328">
        <v>0</v>
      </c>
      <c r="AB328">
        <v>0</v>
      </c>
      <c r="AC328">
        <v>0</v>
      </c>
      <c r="AD328">
        <v>0</v>
      </c>
    </row>
    <row r="329" spans="1:30" hidden="1" x14ac:dyDescent="0.35">
      <c r="A329" s="2">
        <v>45896</v>
      </c>
      <c r="B329" t="s">
        <v>41</v>
      </c>
      <c r="C329">
        <v>1.16974997520446</v>
      </c>
      <c r="D329">
        <v>1.16974997520446</v>
      </c>
      <c r="E329">
        <v>1.16970002651214</v>
      </c>
      <c r="F329">
        <v>1.16970002651214</v>
      </c>
      <c r="G329">
        <v>2</v>
      </c>
      <c r="H329">
        <v>1.17044997215271</v>
      </c>
      <c r="I329">
        <v>-3.4999847412109299E-4</v>
      </c>
      <c r="J329" t="str">
        <f t="shared" si="43"/>
        <v>DOWN</v>
      </c>
      <c r="K329">
        <v>1.1733289885520899</v>
      </c>
      <c r="L329">
        <v>-1.57001018524338E-4</v>
      </c>
      <c r="M329" t="str">
        <f t="shared" si="44"/>
        <v>DOWN</v>
      </c>
      <c r="N329">
        <v>-2.8790163993834801E-3</v>
      </c>
      <c r="O329" t="str">
        <f t="shared" si="45"/>
        <v>DOWN</v>
      </c>
      <c r="P329">
        <v>37.279559623893199</v>
      </c>
      <c r="Q329">
        <v>4.1226068433399199</v>
      </c>
      <c r="R329" t="str">
        <f t="shared" si="46"/>
        <v>UP</v>
      </c>
      <c r="S329">
        <v>1.16919994354248</v>
      </c>
      <c r="T329" t="str">
        <f t="shared" si="40"/>
        <v>UP</v>
      </c>
      <c r="U329">
        <v>1.17050004005432</v>
      </c>
      <c r="V329" t="str">
        <f t="shared" si="47"/>
        <v>DOWN</v>
      </c>
      <c r="W329">
        <v>1.16970002651214</v>
      </c>
      <c r="X329" t="str">
        <f t="shared" si="41"/>
        <v>UP</v>
      </c>
      <c r="Y329">
        <v>1.1711499691009499</v>
      </c>
      <c r="Z329" t="str">
        <f t="shared" si="42"/>
        <v>DOWN</v>
      </c>
      <c r="AA329">
        <v>0</v>
      </c>
      <c r="AB329">
        <v>0</v>
      </c>
      <c r="AC329">
        <v>0</v>
      </c>
      <c r="AD329">
        <v>0</v>
      </c>
    </row>
    <row r="330" spans="1:30" hidden="1" x14ac:dyDescent="0.35">
      <c r="A330" s="2">
        <v>45896</v>
      </c>
      <c r="B330" t="s">
        <v>34</v>
      </c>
      <c r="C330">
        <v>1.16970002651214</v>
      </c>
      <c r="D330">
        <v>1.1701500415802</v>
      </c>
      <c r="E330">
        <v>1.16939997673034</v>
      </c>
      <c r="F330">
        <v>1.16999995708465</v>
      </c>
      <c r="G330">
        <v>28</v>
      </c>
      <c r="H330">
        <v>1.17008998394012</v>
      </c>
      <c r="I330">
        <v>-3.5998821258553798E-4</v>
      </c>
      <c r="J330" t="str">
        <f t="shared" si="43"/>
        <v>DOWN</v>
      </c>
      <c r="K330">
        <v>1.17316298961639</v>
      </c>
      <c r="L330">
        <v>-1.65998935699462E-4</v>
      </c>
      <c r="M330" t="str">
        <f t="shared" si="44"/>
        <v>DOWN</v>
      </c>
      <c r="N330">
        <v>-3.0730056762695501E-3</v>
      </c>
      <c r="O330" t="str">
        <f t="shared" si="45"/>
        <v>DOWN</v>
      </c>
      <c r="P330">
        <v>37.056050157668302</v>
      </c>
      <c r="Q330">
        <v>-0.223509466224875</v>
      </c>
      <c r="R330" t="str">
        <f t="shared" si="46"/>
        <v>DOWN</v>
      </c>
      <c r="S330">
        <v>1.16970002651214</v>
      </c>
      <c r="T330" t="str">
        <f t="shared" si="40"/>
        <v>DOWN</v>
      </c>
      <c r="U330">
        <v>1.16919994354248</v>
      </c>
      <c r="V330" t="str">
        <f t="shared" si="47"/>
        <v>UP</v>
      </c>
      <c r="W330">
        <v>1.16974997520446</v>
      </c>
      <c r="X330" t="str">
        <f t="shared" si="41"/>
        <v>UP</v>
      </c>
      <c r="Y330">
        <v>1.16970002651214</v>
      </c>
      <c r="Z330" t="str">
        <f t="shared" si="42"/>
        <v>UP</v>
      </c>
      <c r="AA330">
        <v>0</v>
      </c>
      <c r="AB330">
        <v>0</v>
      </c>
      <c r="AC330">
        <v>0</v>
      </c>
      <c r="AD330">
        <v>0</v>
      </c>
    </row>
    <row r="331" spans="1:30" hidden="1" x14ac:dyDescent="0.35">
      <c r="A331" s="2">
        <v>45896</v>
      </c>
      <c r="B331" t="s">
        <v>35</v>
      </c>
      <c r="C331">
        <v>1.1682499647140501</v>
      </c>
      <c r="D331">
        <v>1.16945004463195</v>
      </c>
      <c r="E331">
        <v>1.1676000356674101</v>
      </c>
      <c r="F331">
        <v>1.16945004463195</v>
      </c>
      <c r="G331">
        <v>81</v>
      </c>
      <c r="H331">
        <v>1.1695399761199901</v>
      </c>
      <c r="I331">
        <v>-5.5000782012926098E-4</v>
      </c>
      <c r="J331" t="str">
        <f t="shared" si="43"/>
        <v>DOWN</v>
      </c>
      <c r="K331">
        <v>1.1729509878158499</v>
      </c>
      <c r="L331">
        <v>-2.12001800537153E-4</v>
      </c>
      <c r="M331" t="str">
        <f t="shared" si="44"/>
        <v>DOWN</v>
      </c>
      <c r="N331">
        <v>-3.4110116958616602E-3</v>
      </c>
      <c r="O331" t="str">
        <f t="shared" si="45"/>
        <v>DOWN</v>
      </c>
      <c r="P331">
        <v>31.206558833456601</v>
      </c>
      <c r="Q331">
        <v>-5.8494913242116402</v>
      </c>
      <c r="R331" t="str">
        <f t="shared" si="46"/>
        <v>DOWN</v>
      </c>
      <c r="S331">
        <v>1.16939997673034</v>
      </c>
      <c r="T331" t="str">
        <f t="shared" si="40"/>
        <v>DOWN</v>
      </c>
      <c r="U331">
        <v>1.16970002651214</v>
      </c>
      <c r="V331" t="str">
        <f t="shared" si="47"/>
        <v>DOWN</v>
      </c>
      <c r="W331">
        <v>1.1701500415802</v>
      </c>
      <c r="X331" t="str">
        <f t="shared" si="41"/>
        <v>DOWN</v>
      </c>
      <c r="Y331">
        <v>1.16974997520446</v>
      </c>
      <c r="Z331" t="str">
        <f t="shared" si="42"/>
        <v>DOWN</v>
      </c>
      <c r="AA331">
        <v>0</v>
      </c>
      <c r="AB331">
        <v>0</v>
      </c>
      <c r="AC331">
        <v>0</v>
      </c>
      <c r="AD331">
        <v>0</v>
      </c>
    </row>
    <row r="332" spans="1:30" hidden="1" x14ac:dyDescent="0.35">
      <c r="A332" s="2">
        <v>45896</v>
      </c>
      <c r="B332" t="s">
        <v>36</v>
      </c>
      <c r="C332">
        <v>1.1665999889373699</v>
      </c>
      <c r="D332">
        <v>1.1682000160217201</v>
      </c>
      <c r="E332">
        <v>1.16565001010894</v>
      </c>
      <c r="F332">
        <v>1.1682000160217201</v>
      </c>
      <c r="G332">
        <v>162</v>
      </c>
      <c r="H332">
        <v>1.1686999797821001</v>
      </c>
      <c r="I332">
        <v>-8.3999633789066898E-4</v>
      </c>
      <c r="J332" t="str">
        <f t="shared" si="43"/>
        <v>DOWN</v>
      </c>
      <c r="K332">
        <v>1.1727089881896899</v>
      </c>
      <c r="L332">
        <v>-2.4199962615956101E-4</v>
      </c>
      <c r="M332" t="str">
        <f t="shared" si="44"/>
        <v>DOWN</v>
      </c>
      <c r="N332">
        <v>-4.00900840759277E-3</v>
      </c>
      <c r="O332" t="str">
        <f t="shared" si="45"/>
        <v>DOWN</v>
      </c>
      <c r="P332">
        <v>26.1485232228328</v>
      </c>
      <c r="Q332">
        <v>-5.0580356106237998</v>
      </c>
      <c r="R332" t="str">
        <f t="shared" si="46"/>
        <v>DOWN</v>
      </c>
      <c r="S332">
        <v>1.1676000356674101</v>
      </c>
      <c r="T332" t="str">
        <f t="shared" si="40"/>
        <v>DOWN</v>
      </c>
      <c r="U332">
        <v>1.16939997673034</v>
      </c>
      <c r="V332" t="str">
        <f t="shared" si="47"/>
        <v>DOWN</v>
      </c>
      <c r="W332">
        <v>1.16945004463195</v>
      </c>
      <c r="X332" t="str">
        <f t="shared" si="41"/>
        <v>DOWN</v>
      </c>
      <c r="Y332">
        <v>1.1701500415802</v>
      </c>
      <c r="Z332" t="str">
        <f t="shared" si="42"/>
        <v>DOWN</v>
      </c>
      <c r="AA332">
        <v>0</v>
      </c>
      <c r="AB332">
        <v>0</v>
      </c>
      <c r="AC332">
        <v>0</v>
      </c>
      <c r="AD332">
        <v>0</v>
      </c>
    </row>
    <row r="333" spans="1:30" hidden="1" x14ac:dyDescent="0.35">
      <c r="A333" s="2">
        <v>45896</v>
      </c>
      <c r="B333" t="s">
        <v>37</v>
      </c>
      <c r="C333">
        <v>1.1670000553131099</v>
      </c>
      <c r="D333">
        <v>1.1672999858856199</v>
      </c>
      <c r="E333">
        <v>1.1665500402450499</v>
      </c>
      <c r="F333">
        <v>1.1667000055313099</v>
      </c>
      <c r="G333">
        <v>173</v>
      </c>
      <c r="H333">
        <v>1.1682600021362299</v>
      </c>
      <c r="I333">
        <v>-4.3997764587411198E-4</v>
      </c>
      <c r="J333" t="str">
        <f t="shared" si="43"/>
        <v>DOWN</v>
      </c>
      <c r="K333">
        <v>1.1724909901618901</v>
      </c>
      <c r="L333">
        <v>-2.1799802780142399E-4</v>
      </c>
      <c r="M333" t="str">
        <f t="shared" si="44"/>
        <v>DOWN</v>
      </c>
      <c r="N333">
        <v>-4.23098802566546E-3</v>
      </c>
      <c r="O333" t="str">
        <f t="shared" si="45"/>
        <v>DOWN</v>
      </c>
      <c r="P333">
        <v>29.147216755673199</v>
      </c>
      <c r="Q333">
        <v>2.9986935328403899</v>
      </c>
      <c r="R333" t="str">
        <f t="shared" si="46"/>
        <v>UP</v>
      </c>
      <c r="S333">
        <v>1.16565001010894</v>
      </c>
      <c r="T333" t="str">
        <f t="shared" si="40"/>
        <v>UP</v>
      </c>
      <c r="U333">
        <v>1.1676000356674101</v>
      </c>
      <c r="V333" t="str">
        <f t="shared" si="47"/>
        <v>DOWN</v>
      </c>
      <c r="W333">
        <v>1.1682000160217201</v>
      </c>
      <c r="X333" t="str">
        <f t="shared" si="41"/>
        <v>DOWN</v>
      </c>
      <c r="Y333">
        <v>1.16945004463195</v>
      </c>
      <c r="Z333" t="str">
        <f t="shared" si="42"/>
        <v>DOWN</v>
      </c>
      <c r="AA333">
        <v>0</v>
      </c>
      <c r="AB333">
        <v>0</v>
      </c>
      <c r="AC333">
        <v>0</v>
      </c>
      <c r="AD333">
        <v>0</v>
      </c>
    </row>
    <row r="334" spans="1:30" hidden="1" x14ac:dyDescent="0.35">
      <c r="A334" s="2">
        <v>45896</v>
      </c>
      <c r="B334" t="s">
        <v>20</v>
      </c>
      <c r="C334">
        <v>1.16600000858306</v>
      </c>
      <c r="D334">
        <v>1.1668000221252399</v>
      </c>
      <c r="E334">
        <v>1.16600000858306</v>
      </c>
      <c r="F334">
        <v>1.1668000221252399</v>
      </c>
      <c r="G334">
        <v>82</v>
      </c>
      <c r="H334">
        <v>1.1675100088119501</v>
      </c>
      <c r="I334">
        <v>-7.4999332427960698E-4</v>
      </c>
      <c r="J334" t="str">
        <f t="shared" si="43"/>
        <v>DOWN</v>
      </c>
      <c r="K334">
        <v>1.17221698999404</v>
      </c>
      <c r="L334">
        <v>-2.7400016784673298E-4</v>
      </c>
      <c r="M334" t="str">
        <f t="shared" si="44"/>
        <v>DOWN</v>
      </c>
      <c r="N334">
        <v>-4.7069811820983302E-3</v>
      </c>
      <c r="O334" t="str">
        <f t="shared" si="45"/>
        <v>DOWN</v>
      </c>
      <c r="P334">
        <v>26.275170874317201</v>
      </c>
      <c r="Q334">
        <v>-2.8720458813560299</v>
      </c>
      <c r="R334" t="str">
        <f t="shared" si="46"/>
        <v>DOWN</v>
      </c>
      <c r="S334">
        <v>1.1665500402450499</v>
      </c>
      <c r="T334" t="str">
        <f t="shared" si="40"/>
        <v>DOWN</v>
      </c>
      <c r="U334">
        <v>1.16565001010894</v>
      </c>
      <c r="V334" t="str">
        <f t="shared" si="47"/>
        <v>UP</v>
      </c>
      <c r="W334">
        <v>1.1672999858856199</v>
      </c>
      <c r="X334" t="str">
        <f t="shared" si="41"/>
        <v>DOWN</v>
      </c>
      <c r="Y334">
        <v>1.1682000160217201</v>
      </c>
      <c r="Z334" t="str">
        <f t="shared" si="42"/>
        <v>DOWN</v>
      </c>
      <c r="AA334">
        <v>0</v>
      </c>
      <c r="AB334">
        <v>0</v>
      </c>
      <c r="AC334">
        <v>0</v>
      </c>
      <c r="AD334">
        <v>0</v>
      </c>
    </row>
    <row r="335" spans="1:30" hidden="1" x14ac:dyDescent="0.35">
      <c r="A335" s="2">
        <v>45896</v>
      </c>
      <c r="B335" t="s">
        <v>21</v>
      </c>
      <c r="C335">
        <v>1.1664500236511199</v>
      </c>
      <c r="D335">
        <v>1.1668000221252399</v>
      </c>
      <c r="E335">
        <v>1.16550004482269</v>
      </c>
      <c r="F335">
        <v>1.16585004329681</v>
      </c>
      <c r="G335">
        <v>143</v>
      </c>
      <c r="H335">
        <v>1.16686000823974</v>
      </c>
      <c r="I335">
        <v>-6.5000057220476705E-4</v>
      </c>
      <c r="J335" t="str">
        <f t="shared" si="43"/>
        <v>DOWN</v>
      </c>
      <c r="K335">
        <v>1.17198698997497</v>
      </c>
      <c r="L335">
        <v>-2.30000019073584E-4</v>
      </c>
      <c r="M335" t="str">
        <f t="shared" si="44"/>
        <v>DOWN</v>
      </c>
      <c r="N335">
        <v>-5.1269817352295102E-3</v>
      </c>
      <c r="O335" t="str">
        <f t="shared" si="45"/>
        <v>DOWN</v>
      </c>
      <c r="P335">
        <v>29.635186290936002</v>
      </c>
      <c r="Q335">
        <v>3.3600154166188498</v>
      </c>
      <c r="R335" t="str">
        <f t="shared" si="46"/>
        <v>UP</v>
      </c>
      <c r="S335">
        <v>1.16600000858306</v>
      </c>
      <c r="T335" t="str">
        <f t="shared" si="40"/>
        <v>DOWN</v>
      </c>
      <c r="U335">
        <v>1.1665500402450499</v>
      </c>
      <c r="V335" t="str">
        <f t="shared" si="47"/>
        <v>DOWN</v>
      </c>
      <c r="W335">
        <v>1.1668000221252399</v>
      </c>
      <c r="X335" t="str">
        <f t="shared" si="41"/>
        <v>DOWN</v>
      </c>
      <c r="Y335">
        <v>1.1672999858856199</v>
      </c>
      <c r="Z335" t="str">
        <f t="shared" si="42"/>
        <v>DOWN</v>
      </c>
      <c r="AA335">
        <v>0</v>
      </c>
      <c r="AB335">
        <v>1</v>
      </c>
      <c r="AC335">
        <v>0</v>
      </c>
      <c r="AD335">
        <v>0</v>
      </c>
    </row>
    <row r="336" spans="1:30" hidden="1" x14ac:dyDescent="0.35">
      <c r="A336" s="2">
        <v>45896</v>
      </c>
      <c r="B336" t="s">
        <v>22</v>
      </c>
      <c r="C336">
        <v>1.1664500236511199</v>
      </c>
      <c r="D336">
        <v>1.1675499677657999</v>
      </c>
      <c r="E336">
        <v>1.1663999557495099</v>
      </c>
      <c r="F336">
        <v>1.1665500402450499</v>
      </c>
      <c r="G336">
        <v>465</v>
      </c>
      <c r="H336">
        <v>1.16650002002716</v>
      </c>
      <c r="I336">
        <v>-3.5998821258531599E-4</v>
      </c>
      <c r="J336" t="str">
        <f t="shared" si="43"/>
        <v>DOWN</v>
      </c>
      <c r="K336">
        <v>1.1717469906806901</v>
      </c>
      <c r="L336">
        <v>-2.39999294280979E-4</v>
      </c>
      <c r="M336" t="str">
        <f t="shared" si="44"/>
        <v>DOWN</v>
      </c>
      <c r="N336">
        <v>-5.2469706535338504E-3</v>
      </c>
      <c r="O336" t="str">
        <f t="shared" si="45"/>
        <v>DOWN</v>
      </c>
      <c r="P336">
        <v>29.635186290936002</v>
      </c>
      <c r="Q336">
        <v>0</v>
      </c>
      <c r="R336" t="str">
        <f t="shared" si="46"/>
        <v>DOWN</v>
      </c>
      <c r="S336">
        <v>1.16550004482269</v>
      </c>
      <c r="T336" t="str">
        <f t="shared" si="40"/>
        <v>UP</v>
      </c>
      <c r="U336">
        <v>1.16600000858306</v>
      </c>
      <c r="V336" t="str">
        <f t="shared" si="47"/>
        <v>UP</v>
      </c>
      <c r="W336">
        <v>1.1668000221252399</v>
      </c>
      <c r="X336" t="str">
        <f t="shared" si="41"/>
        <v>UP</v>
      </c>
      <c r="Y336">
        <v>1.1668000221252399</v>
      </c>
      <c r="Z336" t="str">
        <f t="shared" si="42"/>
        <v>UP</v>
      </c>
      <c r="AA336">
        <v>0</v>
      </c>
      <c r="AB336">
        <v>0</v>
      </c>
      <c r="AC336">
        <v>0</v>
      </c>
      <c r="AD336">
        <v>0</v>
      </c>
    </row>
    <row r="337" spans="1:30" hidden="1" x14ac:dyDescent="0.35">
      <c r="A337" s="2">
        <v>45896</v>
      </c>
      <c r="B337" t="s">
        <v>23</v>
      </c>
      <c r="C337">
        <v>1.1677500009536701</v>
      </c>
      <c r="D337">
        <v>1.1680999994277901</v>
      </c>
      <c r="E337">
        <v>1.1664500236511199</v>
      </c>
      <c r="F337">
        <v>1.1667000055313099</v>
      </c>
      <c r="G337">
        <v>238</v>
      </c>
      <c r="H337">
        <v>1.16673002243042</v>
      </c>
      <c r="I337">
        <v>2.3000240325932099E-4</v>
      </c>
      <c r="J337" t="str">
        <f t="shared" si="43"/>
        <v>UP</v>
      </c>
      <c r="K337">
        <v>1.1715569901466301</v>
      </c>
      <c r="L337">
        <v>-1.9000053405759899E-4</v>
      </c>
      <c r="M337" t="str">
        <f t="shared" si="44"/>
        <v>DOWN</v>
      </c>
      <c r="N337">
        <v>-4.8269677162169301E-3</v>
      </c>
      <c r="O337" t="str">
        <f t="shared" si="45"/>
        <v>DOWN</v>
      </c>
      <c r="P337">
        <v>38.955901910977097</v>
      </c>
      <c r="Q337">
        <v>9.3207156200410601</v>
      </c>
      <c r="R337" t="str">
        <f t="shared" si="46"/>
        <v>UP</v>
      </c>
      <c r="S337">
        <v>1.1663999557495099</v>
      </c>
      <c r="T337" t="str">
        <f t="shared" si="40"/>
        <v>UP</v>
      </c>
      <c r="U337">
        <v>1.16550004482269</v>
      </c>
      <c r="V337" t="str">
        <f t="shared" si="47"/>
        <v>UP</v>
      </c>
      <c r="W337">
        <v>1.1675499677657999</v>
      </c>
      <c r="X337" t="str">
        <f t="shared" si="41"/>
        <v>UP</v>
      </c>
      <c r="Y337">
        <v>1.1668000221252399</v>
      </c>
      <c r="Z337" t="str">
        <f t="shared" si="42"/>
        <v>UP</v>
      </c>
      <c r="AA337">
        <v>0</v>
      </c>
      <c r="AB337">
        <v>0</v>
      </c>
      <c r="AC337">
        <v>0</v>
      </c>
      <c r="AD337">
        <v>0</v>
      </c>
    </row>
    <row r="338" spans="1:30" hidden="1" x14ac:dyDescent="0.35">
      <c r="A338" s="2">
        <v>45896</v>
      </c>
      <c r="B338" t="s">
        <v>24</v>
      </c>
      <c r="C338">
        <v>1.1670500040054299</v>
      </c>
      <c r="D338">
        <v>1.1676499843597401</v>
      </c>
      <c r="E338">
        <v>1.16614997386932</v>
      </c>
      <c r="F338">
        <v>1.1676000356674101</v>
      </c>
      <c r="G338">
        <v>482</v>
      </c>
      <c r="H338">
        <v>1.16674001216888</v>
      </c>
      <c r="I338" s="1">
        <v>9.9897384642222403E-6</v>
      </c>
      <c r="J338" t="str">
        <f t="shared" si="43"/>
        <v>UP</v>
      </c>
      <c r="K338">
        <v>1.1713619899749701</v>
      </c>
      <c r="L338">
        <v>-1.9500017166129699E-4</v>
      </c>
      <c r="M338" t="str">
        <f t="shared" si="44"/>
        <v>DOWN</v>
      </c>
      <c r="N338">
        <v>-4.62197780609141E-3</v>
      </c>
      <c r="O338" t="str">
        <f t="shared" si="45"/>
        <v>DOWN</v>
      </c>
      <c r="P338">
        <v>36.177011241255599</v>
      </c>
      <c r="Q338">
        <v>-2.7788906697214899</v>
      </c>
      <c r="R338" t="str">
        <f t="shared" si="46"/>
        <v>DOWN</v>
      </c>
      <c r="S338">
        <v>1.1664500236511199</v>
      </c>
      <c r="T338" t="str">
        <f t="shared" si="40"/>
        <v>DOWN</v>
      </c>
      <c r="U338">
        <v>1.1663999557495099</v>
      </c>
      <c r="V338" t="str">
        <f t="shared" si="47"/>
        <v>DOWN</v>
      </c>
      <c r="W338">
        <v>1.1680999994277901</v>
      </c>
      <c r="X338" t="str">
        <f t="shared" si="41"/>
        <v>DOWN</v>
      </c>
      <c r="Y338">
        <v>1.1675499677657999</v>
      </c>
      <c r="Z338" t="str">
        <f t="shared" si="42"/>
        <v>UP</v>
      </c>
      <c r="AA338">
        <v>0</v>
      </c>
      <c r="AB338">
        <v>0</v>
      </c>
      <c r="AC338">
        <v>0</v>
      </c>
      <c r="AD338">
        <v>0</v>
      </c>
    </row>
    <row r="339" spans="1:30" hidden="1" x14ac:dyDescent="0.35">
      <c r="A339" s="2">
        <v>45896</v>
      </c>
      <c r="B339" t="s">
        <v>25</v>
      </c>
      <c r="C339">
        <v>1.16894996166229</v>
      </c>
      <c r="D339">
        <v>1.16904997825622</v>
      </c>
      <c r="E339">
        <v>1.1670999526977499</v>
      </c>
      <c r="F339">
        <v>1.1670999526977499</v>
      </c>
      <c r="G339">
        <v>280</v>
      </c>
      <c r="H339">
        <v>1.16733000278472</v>
      </c>
      <c r="I339">
        <v>5.8999061584485903E-4</v>
      </c>
      <c r="J339" t="str">
        <f t="shared" si="43"/>
        <v>UP</v>
      </c>
      <c r="K339">
        <v>1.1711789894104001</v>
      </c>
      <c r="L339">
        <v>-1.8300056457531901E-4</v>
      </c>
      <c r="M339" t="str">
        <f t="shared" si="44"/>
        <v>DOWN</v>
      </c>
      <c r="N339">
        <v>-3.8489866256712301E-3</v>
      </c>
      <c r="O339" t="str">
        <f t="shared" si="45"/>
        <v>DOWN</v>
      </c>
      <c r="P339">
        <v>47.188775245108602</v>
      </c>
      <c r="Q339">
        <v>11.0117640038529</v>
      </c>
      <c r="R339" t="str">
        <f t="shared" si="46"/>
        <v>UP</v>
      </c>
      <c r="S339">
        <v>1.16614997386932</v>
      </c>
      <c r="T339" t="str">
        <f t="shared" si="40"/>
        <v>UP</v>
      </c>
      <c r="U339">
        <v>1.1664500236511199</v>
      </c>
      <c r="V339" t="str">
        <f t="shared" si="47"/>
        <v>UP</v>
      </c>
      <c r="W339">
        <v>1.1676499843597401</v>
      </c>
      <c r="X339" t="str">
        <f t="shared" si="41"/>
        <v>UP</v>
      </c>
      <c r="Y339">
        <v>1.1680999994277901</v>
      </c>
      <c r="Z339" t="str">
        <f t="shared" si="42"/>
        <v>UP</v>
      </c>
      <c r="AA339">
        <v>0</v>
      </c>
      <c r="AB339">
        <v>0</v>
      </c>
      <c r="AC339">
        <v>0</v>
      </c>
      <c r="AD339">
        <v>0</v>
      </c>
    </row>
    <row r="340" spans="1:30" hidden="1" x14ac:dyDescent="0.35">
      <c r="A340" s="2">
        <v>45896</v>
      </c>
      <c r="B340" t="s">
        <v>26</v>
      </c>
      <c r="C340">
        <v>1.1717000007629299</v>
      </c>
      <c r="D340">
        <v>1.1717000007629299</v>
      </c>
      <c r="E340">
        <v>1.1690000295639</v>
      </c>
      <c r="F340">
        <v>1.1690000295639</v>
      </c>
      <c r="G340">
        <v>110</v>
      </c>
      <c r="H340">
        <v>1.1683799982070899</v>
      </c>
      <c r="I340">
        <v>1.0499954223632799E-3</v>
      </c>
      <c r="J340" t="str">
        <f t="shared" si="43"/>
        <v>UP</v>
      </c>
      <c r="K340">
        <v>1.17105298995971</v>
      </c>
      <c r="L340">
        <v>-1.2599945068347799E-4</v>
      </c>
      <c r="M340" t="str">
        <f t="shared" si="44"/>
        <v>DOWN</v>
      </c>
      <c r="N340">
        <v>-2.6729917526244701E-3</v>
      </c>
      <c r="O340" t="str">
        <f t="shared" si="45"/>
        <v>DOWN</v>
      </c>
      <c r="P340">
        <v>58.381702835976498</v>
      </c>
      <c r="Q340">
        <v>11.1929275908678</v>
      </c>
      <c r="R340" t="str">
        <f t="shared" si="46"/>
        <v>UP</v>
      </c>
      <c r="S340">
        <v>1.1670999526977499</v>
      </c>
      <c r="T340" t="str">
        <f t="shared" si="40"/>
        <v>UP</v>
      </c>
      <c r="U340">
        <v>1.16614997386932</v>
      </c>
      <c r="V340" t="str">
        <f t="shared" si="47"/>
        <v>UP</v>
      </c>
      <c r="W340">
        <v>1.16904997825622</v>
      </c>
      <c r="X340" t="str">
        <f t="shared" si="41"/>
        <v>UP</v>
      </c>
      <c r="Y340">
        <v>1.1676499843597401</v>
      </c>
      <c r="Z340" t="str">
        <f t="shared" si="42"/>
        <v>UP</v>
      </c>
      <c r="AA340">
        <v>0</v>
      </c>
      <c r="AB340">
        <v>0</v>
      </c>
      <c r="AC340">
        <v>0</v>
      </c>
      <c r="AD340">
        <v>0</v>
      </c>
    </row>
    <row r="341" spans="1:30" hidden="1" x14ac:dyDescent="0.35">
      <c r="A341" s="2">
        <v>45896</v>
      </c>
      <c r="B341" t="s">
        <v>27</v>
      </c>
      <c r="C341">
        <v>1.1717000007629299</v>
      </c>
      <c r="D341">
        <v>1.1720000505447301</v>
      </c>
      <c r="E341">
        <v>1.1712000370025599</v>
      </c>
      <c r="F341">
        <v>1.1717000007629299</v>
      </c>
      <c r="G341">
        <v>75</v>
      </c>
      <c r="H341">
        <v>1.1694299936294501</v>
      </c>
      <c r="I341">
        <v>1.0499954223632799E-3</v>
      </c>
      <c r="J341" t="str">
        <f t="shared" si="43"/>
        <v>UP</v>
      </c>
      <c r="K341">
        <v>1.17092699050903</v>
      </c>
      <c r="L341">
        <v>-1.2599945068370001E-4</v>
      </c>
      <c r="M341" t="str">
        <f t="shared" si="44"/>
        <v>DOWN</v>
      </c>
      <c r="N341">
        <v>-1.4969968795774901E-3</v>
      </c>
      <c r="O341" t="str">
        <f t="shared" si="45"/>
        <v>DOWN</v>
      </c>
      <c r="P341">
        <v>58.381702835976498</v>
      </c>
      <c r="Q341">
        <v>0</v>
      </c>
      <c r="R341" t="str">
        <f t="shared" si="46"/>
        <v>DOWN</v>
      </c>
      <c r="S341">
        <v>1.1690000295639</v>
      </c>
      <c r="T341" t="str">
        <f t="shared" si="40"/>
        <v>UP</v>
      </c>
      <c r="U341">
        <v>1.1670999526977499</v>
      </c>
      <c r="V341" t="str">
        <f t="shared" si="47"/>
        <v>UP</v>
      </c>
      <c r="W341">
        <v>1.1717000007629299</v>
      </c>
      <c r="X341" t="str">
        <f t="shared" si="41"/>
        <v>UP</v>
      </c>
      <c r="Y341">
        <v>1.16904997825622</v>
      </c>
      <c r="Z341" t="str">
        <f t="shared" si="42"/>
        <v>UP</v>
      </c>
      <c r="AA341">
        <v>1</v>
      </c>
      <c r="AB341">
        <v>0</v>
      </c>
      <c r="AC341">
        <v>0</v>
      </c>
      <c r="AD341">
        <v>0</v>
      </c>
    </row>
    <row r="342" spans="1:30" hidden="1" x14ac:dyDescent="0.35">
      <c r="A342" s="2">
        <v>45896</v>
      </c>
      <c r="B342" t="s">
        <v>38</v>
      </c>
      <c r="C342">
        <v>1.1709500551223699</v>
      </c>
      <c r="D342">
        <v>1.1715500354766799</v>
      </c>
      <c r="E342">
        <v>1.17065000534057</v>
      </c>
      <c r="F342">
        <v>1.1715500354766799</v>
      </c>
      <c r="G342">
        <v>116</v>
      </c>
      <c r="H342">
        <v>1.17007000446319</v>
      </c>
      <c r="I342">
        <v>6.4001083374010104E-4</v>
      </c>
      <c r="J342" t="str">
        <f t="shared" si="43"/>
        <v>UP</v>
      </c>
      <c r="K342">
        <v>1.1708039927482601</v>
      </c>
      <c r="L342">
        <v>-1.2299776077262501E-4</v>
      </c>
      <c r="M342" t="str">
        <f t="shared" si="44"/>
        <v>DOWN</v>
      </c>
      <c r="N342">
        <v>-7.3398828506476799E-4</v>
      </c>
      <c r="O342" t="str">
        <f t="shared" si="45"/>
        <v>DOWN</v>
      </c>
      <c r="P342">
        <v>54.714141964638401</v>
      </c>
      <c r="Q342">
        <v>-3.6675608713380399</v>
      </c>
      <c r="R342" t="str">
        <f t="shared" si="46"/>
        <v>DOWN</v>
      </c>
      <c r="S342">
        <v>1.1712000370025599</v>
      </c>
      <c r="T342" t="str">
        <f t="shared" si="40"/>
        <v>DOWN</v>
      </c>
      <c r="U342">
        <v>1.1690000295639</v>
      </c>
      <c r="V342" t="str">
        <f t="shared" si="47"/>
        <v>UP</v>
      </c>
      <c r="W342">
        <v>1.1720000505447301</v>
      </c>
      <c r="X342" t="str">
        <f t="shared" si="41"/>
        <v>DOWN</v>
      </c>
      <c r="Y342">
        <v>1.1717000007629299</v>
      </c>
      <c r="Z342" t="str">
        <f t="shared" si="42"/>
        <v>DOWN</v>
      </c>
      <c r="AA342">
        <v>0</v>
      </c>
      <c r="AB342">
        <v>0</v>
      </c>
      <c r="AC342">
        <v>0</v>
      </c>
      <c r="AD342">
        <v>0</v>
      </c>
    </row>
    <row r="343" spans="1:30" hidden="1" x14ac:dyDescent="0.35">
      <c r="A343" s="2">
        <v>45896</v>
      </c>
      <c r="B343" t="s">
        <v>28</v>
      </c>
      <c r="C343">
        <v>1.1712499856948799</v>
      </c>
      <c r="D343">
        <v>1.1713500022888099</v>
      </c>
      <c r="E343">
        <v>1.1708999872207599</v>
      </c>
      <c r="F343">
        <v>1.1709500551223699</v>
      </c>
      <c r="G343">
        <v>18</v>
      </c>
      <c r="H343">
        <v>1.17091000080108</v>
      </c>
      <c r="I343">
        <v>8.3999633789066898E-4</v>
      </c>
      <c r="J343" t="str">
        <f t="shared" si="43"/>
        <v>UP</v>
      </c>
      <c r="K343">
        <v>1.1707329916953999</v>
      </c>
      <c r="L343" s="1">
        <v>-7.1001052856400904E-5</v>
      </c>
      <c r="M343" t="str">
        <f t="shared" si="44"/>
        <v>DOWN</v>
      </c>
      <c r="N343">
        <v>1.7700910568230199E-4</v>
      </c>
      <c r="O343" t="str">
        <f t="shared" si="45"/>
        <v>UP</v>
      </c>
      <c r="P343">
        <v>55.9071527005989</v>
      </c>
      <c r="Q343">
        <v>1.19301073596052</v>
      </c>
      <c r="R343" t="str">
        <f t="shared" si="46"/>
        <v>UP</v>
      </c>
      <c r="S343">
        <v>1.17065000534057</v>
      </c>
      <c r="T343" t="str">
        <f t="shared" si="40"/>
        <v>UP</v>
      </c>
      <c r="U343">
        <v>1.1712000370025599</v>
      </c>
      <c r="V343" t="str">
        <f t="shared" si="47"/>
        <v>DOWN</v>
      </c>
      <c r="W343">
        <v>1.1715500354766799</v>
      </c>
      <c r="X343" t="str">
        <f t="shared" si="41"/>
        <v>DOWN</v>
      </c>
      <c r="Y343">
        <v>1.1720000505447301</v>
      </c>
      <c r="Z343" t="str">
        <f t="shared" si="42"/>
        <v>DOWN</v>
      </c>
      <c r="AA343">
        <v>0</v>
      </c>
      <c r="AB343">
        <v>0</v>
      </c>
      <c r="AC343">
        <v>0</v>
      </c>
      <c r="AD343">
        <v>0</v>
      </c>
    </row>
    <row r="344" spans="1:30" hidden="1" x14ac:dyDescent="0.35">
      <c r="A344" s="2">
        <v>45896</v>
      </c>
      <c r="B344" t="s">
        <v>39</v>
      </c>
      <c r="C344">
        <v>1.1713999509811399</v>
      </c>
      <c r="D344">
        <v>1.1713999509811399</v>
      </c>
      <c r="E344">
        <v>1.1710499525070099</v>
      </c>
      <c r="F344">
        <v>1.1712499856948799</v>
      </c>
      <c r="G344">
        <v>57</v>
      </c>
      <c r="H344">
        <v>1.17139999866485</v>
      </c>
      <c r="I344">
        <v>4.8999786376957501E-4</v>
      </c>
      <c r="J344" t="str">
        <f t="shared" si="43"/>
        <v>UP</v>
      </c>
      <c r="K344">
        <v>1.17068799018859</v>
      </c>
      <c r="L344" s="1">
        <v>-4.5001506805419902E-5</v>
      </c>
      <c r="M344" t="str">
        <f t="shared" si="44"/>
        <v>DOWN</v>
      </c>
      <c r="N344">
        <v>7.1200847625729703E-4</v>
      </c>
      <c r="O344" t="str">
        <f t="shared" si="45"/>
        <v>UP</v>
      </c>
      <c r="P344">
        <v>56.523871661527998</v>
      </c>
      <c r="Q344">
        <v>0.61671896092909795</v>
      </c>
      <c r="R344" t="str">
        <f t="shared" si="46"/>
        <v>UP</v>
      </c>
      <c r="S344">
        <v>1.1708999872207599</v>
      </c>
      <c r="T344" t="str">
        <f t="shared" si="40"/>
        <v>UP</v>
      </c>
      <c r="U344">
        <v>1.17065000534057</v>
      </c>
      <c r="V344" t="str">
        <f t="shared" si="47"/>
        <v>UP</v>
      </c>
      <c r="W344">
        <v>1.1713500022888099</v>
      </c>
      <c r="X344" t="str">
        <f t="shared" si="41"/>
        <v>UP</v>
      </c>
      <c r="Y344">
        <v>1.1715500354766799</v>
      </c>
      <c r="Z344" t="str">
        <f t="shared" si="42"/>
        <v>DOWN</v>
      </c>
      <c r="AA344">
        <v>0</v>
      </c>
      <c r="AB344">
        <v>0</v>
      </c>
      <c r="AC344">
        <v>0</v>
      </c>
      <c r="AD344">
        <v>0</v>
      </c>
    </row>
    <row r="345" spans="1:30" hidden="1" x14ac:dyDescent="0.35">
      <c r="A345" s="2">
        <v>45896</v>
      </c>
      <c r="B345" t="s">
        <v>40</v>
      </c>
      <c r="C345">
        <v>1.1719499826431199</v>
      </c>
      <c r="D345">
        <v>1.1719499826431199</v>
      </c>
      <c r="E345">
        <v>1.1713999509811399</v>
      </c>
      <c r="F345">
        <v>1.1714999675750699</v>
      </c>
      <c r="G345">
        <v>0</v>
      </c>
      <c r="H345">
        <v>1.1714499950408901</v>
      </c>
      <c r="I345" s="1">
        <v>4.9996376037641997E-5</v>
      </c>
      <c r="J345" t="str">
        <f t="shared" si="43"/>
        <v>UP</v>
      </c>
      <c r="K345">
        <v>1.1706739902496299</v>
      </c>
      <c r="L345" s="1">
        <v>-1.39999389650036E-5</v>
      </c>
      <c r="M345" t="str">
        <f t="shared" si="44"/>
        <v>DOWN</v>
      </c>
      <c r="N345">
        <v>7.7600479125994304E-4</v>
      </c>
      <c r="O345" t="str">
        <f t="shared" si="45"/>
        <v>UP</v>
      </c>
      <c r="P345">
        <v>58.800006253850697</v>
      </c>
      <c r="Q345">
        <v>2.2761345923226401</v>
      </c>
      <c r="R345" t="str">
        <f t="shared" si="46"/>
        <v>UP</v>
      </c>
      <c r="S345">
        <v>1.1710499525070099</v>
      </c>
      <c r="T345" t="str">
        <f t="shared" si="40"/>
        <v>UP</v>
      </c>
      <c r="U345">
        <v>1.1708999872207599</v>
      </c>
      <c r="V345" t="str">
        <f t="shared" si="47"/>
        <v>UP</v>
      </c>
      <c r="W345">
        <v>1.1713999509811399</v>
      </c>
      <c r="X345" t="str">
        <f t="shared" si="41"/>
        <v>UP</v>
      </c>
      <c r="Y345">
        <v>1.1713500022888099</v>
      </c>
      <c r="Z345" t="str">
        <f t="shared" si="42"/>
        <v>UP</v>
      </c>
      <c r="AA345">
        <v>0</v>
      </c>
      <c r="AB345">
        <v>0</v>
      </c>
      <c r="AC345">
        <v>0</v>
      </c>
      <c r="AD345">
        <v>0</v>
      </c>
    </row>
    <row r="346" spans="1:30" hidden="1" x14ac:dyDescent="0.35">
      <c r="A346" s="2">
        <v>45896</v>
      </c>
      <c r="B346" t="s">
        <v>42</v>
      </c>
      <c r="C346">
        <v>1.1720000505447301</v>
      </c>
      <c r="D346">
        <v>1.1720000505447301</v>
      </c>
      <c r="E346">
        <v>1.1719499826431199</v>
      </c>
      <c r="F346">
        <v>1.1719499826431199</v>
      </c>
      <c r="G346">
        <v>3</v>
      </c>
      <c r="H346">
        <v>1.17151000499725</v>
      </c>
      <c r="I346" s="1">
        <v>6.0009956359685598E-5</v>
      </c>
      <c r="J346" t="str">
        <f t="shared" si="43"/>
        <v>UP</v>
      </c>
      <c r="K346">
        <v>1.1707129907608</v>
      </c>
      <c r="L346" s="1">
        <v>3.9000511169451303E-5</v>
      </c>
      <c r="M346" t="str">
        <f t="shared" si="44"/>
        <v>UP</v>
      </c>
      <c r="N346">
        <v>7.9701423645017701E-4</v>
      </c>
      <c r="O346" t="str">
        <f t="shared" si="45"/>
        <v>UP</v>
      </c>
      <c r="P346">
        <v>59.010373162614201</v>
      </c>
      <c r="Q346">
        <v>0.21036690876356001</v>
      </c>
      <c r="R346" t="str">
        <f t="shared" si="46"/>
        <v>UP</v>
      </c>
      <c r="S346">
        <v>1.1713999509811399</v>
      </c>
      <c r="T346" t="str">
        <f t="shared" si="40"/>
        <v>UP</v>
      </c>
      <c r="U346">
        <v>1.1710499525070099</v>
      </c>
      <c r="V346" t="str">
        <f t="shared" si="47"/>
        <v>UP</v>
      </c>
      <c r="W346">
        <v>1.1719499826431199</v>
      </c>
      <c r="X346" t="str">
        <f t="shared" si="41"/>
        <v>UP</v>
      </c>
      <c r="Y346">
        <v>1.1713999509811399</v>
      </c>
      <c r="Z346" t="str">
        <f t="shared" si="42"/>
        <v>UP</v>
      </c>
      <c r="AA346">
        <v>1</v>
      </c>
      <c r="AB346">
        <v>0</v>
      </c>
      <c r="AC346">
        <v>0</v>
      </c>
      <c r="AD346">
        <v>0</v>
      </c>
    </row>
    <row r="347" spans="1:30" hidden="1" x14ac:dyDescent="0.35">
      <c r="A347" s="2">
        <v>45897</v>
      </c>
      <c r="B347" t="s">
        <v>29</v>
      </c>
      <c r="C347">
        <v>1.1720499992370601</v>
      </c>
      <c r="D347">
        <v>1.1721500158309901</v>
      </c>
      <c r="E347">
        <v>1.1719000339507999</v>
      </c>
      <c r="F347">
        <v>1.1721500158309901</v>
      </c>
      <c r="G347">
        <v>14</v>
      </c>
      <c r="H347">
        <v>1.1717299938201899</v>
      </c>
      <c r="I347">
        <v>2.1998882293705599E-4</v>
      </c>
      <c r="J347" t="str">
        <f t="shared" si="43"/>
        <v>UP</v>
      </c>
      <c r="K347">
        <v>1.1707729911804099</v>
      </c>
      <c r="L347" s="1">
        <v>6.0000419616734698E-5</v>
      </c>
      <c r="M347" t="str">
        <f t="shared" si="44"/>
        <v>UP</v>
      </c>
      <c r="N347">
        <v>9.5700263977049795E-4</v>
      </c>
      <c r="O347" t="str">
        <f t="shared" si="45"/>
        <v>UP</v>
      </c>
      <c r="P347">
        <v>59.234001981539002</v>
      </c>
      <c r="Q347">
        <v>0.223628818924787</v>
      </c>
      <c r="R347" t="str">
        <f t="shared" si="46"/>
        <v>UP</v>
      </c>
      <c r="S347">
        <v>1.1719499826431199</v>
      </c>
      <c r="T347" t="str">
        <f t="shared" si="40"/>
        <v>DOWN</v>
      </c>
      <c r="U347">
        <v>1.1713999509811399</v>
      </c>
      <c r="V347" t="str">
        <f t="shared" si="47"/>
        <v>UP</v>
      </c>
      <c r="W347">
        <v>1.1720000505447301</v>
      </c>
      <c r="X347" t="str">
        <f t="shared" si="41"/>
        <v>UP</v>
      </c>
      <c r="Y347">
        <v>1.1719499826431199</v>
      </c>
      <c r="Z347" t="str">
        <f t="shared" si="42"/>
        <v>UP</v>
      </c>
      <c r="AA347">
        <v>0</v>
      </c>
      <c r="AB347">
        <v>0</v>
      </c>
      <c r="AC347">
        <v>0</v>
      </c>
      <c r="AD347">
        <v>0</v>
      </c>
    </row>
    <row r="348" spans="1:30" hidden="1" x14ac:dyDescent="0.35">
      <c r="A348" s="2">
        <v>45897</v>
      </c>
      <c r="B348" t="s">
        <v>30</v>
      </c>
      <c r="C348">
        <v>1.1719000339507999</v>
      </c>
      <c r="D348">
        <v>1.1725499629974301</v>
      </c>
      <c r="E348">
        <v>1.1717000007629299</v>
      </c>
      <c r="F348">
        <v>1.1725000143051101</v>
      </c>
      <c r="G348">
        <v>20</v>
      </c>
      <c r="H348">
        <v>1.17186000347137</v>
      </c>
      <c r="I348">
        <v>1.30009651184037E-4</v>
      </c>
      <c r="J348" t="str">
        <f t="shared" si="43"/>
        <v>UP</v>
      </c>
      <c r="K348">
        <v>1.17080899238586</v>
      </c>
      <c r="L348" s="1">
        <v>3.6001205444335897E-5</v>
      </c>
      <c r="M348" t="str">
        <f t="shared" si="44"/>
        <v>UP</v>
      </c>
      <c r="N348">
        <v>1.0510110855102E-3</v>
      </c>
      <c r="O348" t="str">
        <f t="shared" si="45"/>
        <v>UP</v>
      </c>
      <c r="P348">
        <v>58.207211343732602</v>
      </c>
      <c r="Q348">
        <v>-1.02679063780644</v>
      </c>
      <c r="R348" t="str">
        <f t="shared" si="46"/>
        <v>DOWN</v>
      </c>
      <c r="S348">
        <v>1.1719000339507999</v>
      </c>
      <c r="T348" t="str">
        <f t="shared" si="40"/>
        <v>DOWN</v>
      </c>
      <c r="U348">
        <v>1.1719499826431199</v>
      </c>
      <c r="V348" t="str">
        <f t="shared" si="47"/>
        <v>DOWN</v>
      </c>
      <c r="W348">
        <v>1.1721500158309901</v>
      </c>
      <c r="X348" t="str">
        <f t="shared" si="41"/>
        <v>UP</v>
      </c>
      <c r="Y348">
        <v>1.1720000505447301</v>
      </c>
      <c r="Z348" t="str">
        <f t="shared" si="42"/>
        <v>UP</v>
      </c>
      <c r="AA348">
        <v>0</v>
      </c>
      <c r="AB348">
        <v>0</v>
      </c>
      <c r="AC348">
        <v>0</v>
      </c>
      <c r="AD348">
        <v>0</v>
      </c>
    </row>
    <row r="349" spans="1:30" hidden="1" x14ac:dyDescent="0.35">
      <c r="A349" s="2">
        <v>45897</v>
      </c>
      <c r="B349" t="s">
        <v>31</v>
      </c>
      <c r="C349">
        <v>1.1726499795913601</v>
      </c>
      <c r="D349">
        <v>1.1729500293731601</v>
      </c>
      <c r="E349">
        <v>1.1723500490188501</v>
      </c>
      <c r="F349">
        <v>1.1723500490188501</v>
      </c>
      <c r="G349">
        <v>35</v>
      </c>
      <c r="H349">
        <v>1.17211000919342</v>
      </c>
      <c r="I349">
        <v>2.5000572204603101E-4</v>
      </c>
      <c r="J349" t="str">
        <f t="shared" si="43"/>
        <v>UP</v>
      </c>
      <c r="K349">
        <v>1.1708639931678699</v>
      </c>
      <c r="L349" s="1">
        <v>5.5000782013037099E-5</v>
      </c>
      <c r="M349" t="str">
        <f t="shared" si="44"/>
        <v>UP</v>
      </c>
      <c r="N349">
        <v>1.2460160255431899E-3</v>
      </c>
      <c r="O349" t="str">
        <f t="shared" si="45"/>
        <v>UP</v>
      </c>
      <c r="P349">
        <v>61.775623139251202</v>
      </c>
      <c r="Q349">
        <v>3.5684117955186201</v>
      </c>
      <c r="R349" t="str">
        <f t="shared" si="46"/>
        <v>UP</v>
      </c>
      <c r="S349">
        <v>1.1717000007629299</v>
      </c>
      <c r="T349" t="str">
        <f t="shared" si="40"/>
        <v>UP</v>
      </c>
      <c r="U349">
        <v>1.1719000339507999</v>
      </c>
      <c r="V349" t="str">
        <f t="shared" si="47"/>
        <v>UP</v>
      </c>
      <c r="W349">
        <v>1.1725499629974301</v>
      </c>
      <c r="X349" t="str">
        <f t="shared" si="41"/>
        <v>UP</v>
      </c>
      <c r="Y349">
        <v>1.1721500158309901</v>
      </c>
      <c r="Z349" t="str">
        <f t="shared" si="42"/>
        <v>UP</v>
      </c>
      <c r="AA349">
        <v>0</v>
      </c>
      <c r="AB349">
        <v>0</v>
      </c>
      <c r="AC349">
        <v>0</v>
      </c>
      <c r="AD349">
        <v>0</v>
      </c>
    </row>
    <row r="350" spans="1:30" hidden="1" x14ac:dyDescent="0.35">
      <c r="A350" s="2">
        <v>45897</v>
      </c>
      <c r="B350" t="s">
        <v>32</v>
      </c>
      <c r="C350">
        <v>1.1718499660491899</v>
      </c>
      <c r="D350">
        <v>1.1729999780654901</v>
      </c>
      <c r="E350">
        <v>1.1718499660491899</v>
      </c>
      <c r="F350">
        <v>1.1727499961853001</v>
      </c>
      <c r="G350">
        <v>28</v>
      </c>
      <c r="H350">
        <v>1.17209000587463</v>
      </c>
      <c r="I350" s="1">
        <v>-2.0003318786709901E-5</v>
      </c>
      <c r="J350" t="str">
        <f t="shared" si="43"/>
        <v>DOWN</v>
      </c>
      <c r="K350">
        <v>1.1709099936485201</v>
      </c>
      <c r="L350" s="1">
        <v>4.6000480651731097E-5</v>
      </c>
      <c r="M350" t="str">
        <f t="shared" si="44"/>
        <v>UP</v>
      </c>
      <c r="N350">
        <v>1.18001222610475E-3</v>
      </c>
      <c r="O350" t="str">
        <f t="shared" si="45"/>
        <v>UP</v>
      </c>
      <c r="P350">
        <v>56.257327663124002</v>
      </c>
      <c r="Q350">
        <v>-5.5182954761271796</v>
      </c>
      <c r="R350" t="str">
        <f t="shared" si="46"/>
        <v>DOWN</v>
      </c>
      <c r="S350">
        <v>1.1723500490188501</v>
      </c>
      <c r="T350" t="str">
        <f t="shared" si="40"/>
        <v>DOWN</v>
      </c>
      <c r="U350">
        <v>1.1717000007629299</v>
      </c>
      <c r="V350" t="str">
        <f t="shared" si="47"/>
        <v>UP</v>
      </c>
      <c r="W350">
        <v>1.1729500293731601</v>
      </c>
      <c r="X350" t="str">
        <f t="shared" si="41"/>
        <v>UP</v>
      </c>
      <c r="Y350">
        <v>1.1725499629974301</v>
      </c>
      <c r="Z350" t="str">
        <f t="shared" si="42"/>
        <v>UP</v>
      </c>
      <c r="AA350">
        <v>0</v>
      </c>
      <c r="AB350">
        <v>0</v>
      </c>
      <c r="AC350">
        <v>0</v>
      </c>
      <c r="AD350">
        <v>0</v>
      </c>
    </row>
    <row r="351" spans="1:30" hidden="1" x14ac:dyDescent="0.35">
      <c r="A351" s="2">
        <v>45897</v>
      </c>
      <c r="B351" t="s">
        <v>33</v>
      </c>
      <c r="C351">
        <v>1.1715500354766799</v>
      </c>
      <c r="D351">
        <v>1.1718000173568699</v>
      </c>
      <c r="E351">
        <v>1.1715500354766799</v>
      </c>
      <c r="F351">
        <v>1.1715500354766799</v>
      </c>
      <c r="G351">
        <v>19</v>
      </c>
      <c r="H351">
        <v>1.17200000286102</v>
      </c>
      <c r="I351" s="1">
        <v>-9.0003013610839803E-5</v>
      </c>
      <c r="J351" t="str">
        <f t="shared" si="43"/>
        <v>DOWN</v>
      </c>
      <c r="K351">
        <v>1.17087199449539</v>
      </c>
      <c r="L351" s="1">
        <v>-3.7999153137180298E-5</v>
      </c>
      <c r="M351" t="str">
        <f t="shared" si="44"/>
        <v>DOWN</v>
      </c>
      <c r="N351">
        <v>1.1280083656310901E-3</v>
      </c>
      <c r="O351" t="str">
        <f t="shared" si="45"/>
        <v>UP</v>
      </c>
      <c r="P351">
        <v>54.298989684567502</v>
      </c>
      <c r="Q351">
        <v>-1.9583379785564501</v>
      </c>
      <c r="R351" t="str">
        <f t="shared" si="46"/>
        <v>DOWN</v>
      </c>
      <c r="S351">
        <v>1.1718499660491899</v>
      </c>
      <c r="T351" t="str">
        <f t="shared" si="40"/>
        <v>DOWN</v>
      </c>
      <c r="U351">
        <v>1.1723500490188501</v>
      </c>
      <c r="V351" t="str">
        <f t="shared" si="47"/>
        <v>DOWN</v>
      </c>
      <c r="W351">
        <v>1.1729999780654901</v>
      </c>
      <c r="X351" t="str">
        <f t="shared" si="41"/>
        <v>DOWN</v>
      </c>
      <c r="Y351">
        <v>1.1729500293731601</v>
      </c>
      <c r="Z351" t="str">
        <f t="shared" si="42"/>
        <v>DOWN</v>
      </c>
      <c r="AA351">
        <v>0</v>
      </c>
      <c r="AB351">
        <v>0</v>
      </c>
      <c r="AC351">
        <v>0</v>
      </c>
      <c r="AD351">
        <v>0</v>
      </c>
    </row>
    <row r="352" spans="1:30" hidden="1" x14ac:dyDescent="0.35">
      <c r="A352" s="2">
        <v>45897</v>
      </c>
      <c r="B352" t="s">
        <v>41</v>
      </c>
      <c r="C352">
        <v>1.1713999509811399</v>
      </c>
      <c r="D352">
        <v>1.1715999841689999</v>
      </c>
      <c r="E352">
        <v>1.1713000535964899</v>
      </c>
      <c r="F352">
        <v>1.1715999841689999</v>
      </c>
      <c r="G352">
        <v>49</v>
      </c>
      <c r="H352">
        <v>1.17186999320983</v>
      </c>
      <c r="I352">
        <v>-1.30009651184037E-4</v>
      </c>
      <c r="J352" t="str">
        <f t="shared" si="43"/>
        <v>DOWN</v>
      </c>
      <c r="K352">
        <v>1.17087099313735</v>
      </c>
      <c r="L352" s="1">
        <v>-1.0013580322709699E-6</v>
      </c>
      <c r="M352" t="str">
        <f t="shared" si="44"/>
        <v>DOWN</v>
      </c>
      <c r="N352">
        <v>9.9900007247932798E-4</v>
      </c>
      <c r="O352" t="str">
        <f t="shared" si="45"/>
        <v>UP</v>
      </c>
      <c r="P352">
        <v>53.299153983160402</v>
      </c>
      <c r="Q352">
        <v>-0.99983570140714295</v>
      </c>
      <c r="R352" t="str">
        <f t="shared" si="46"/>
        <v>DOWN</v>
      </c>
      <c r="S352">
        <v>1.1715500354766799</v>
      </c>
      <c r="T352" t="str">
        <f t="shared" si="40"/>
        <v>DOWN</v>
      </c>
      <c r="U352">
        <v>1.1718499660491899</v>
      </c>
      <c r="V352" t="str">
        <f t="shared" si="47"/>
        <v>DOWN</v>
      </c>
      <c r="W352">
        <v>1.1718000173568699</v>
      </c>
      <c r="X352" t="str">
        <f t="shared" si="41"/>
        <v>DOWN</v>
      </c>
      <c r="Y352">
        <v>1.1729999780654901</v>
      </c>
      <c r="Z352" t="str">
        <f t="shared" si="42"/>
        <v>DOWN</v>
      </c>
      <c r="AA352">
        <v>0</v>
      </c>
      <c r="AB352">
        <v>0</v>
      </c>
      <c r="AC352">
        <v>0</v>
      </c>
      <c r="AD352">
        <v>0</v>
      </c>
    </row>
    <row r="353" spans="1:30" hidden="1" x14ac:dyDescent="0.35">
      <c r="A353" s="2">
        <v>45897</v>
      </c>
      <c r="B353" t="s">
        <v>34</v>
      </c>
      <c r="C353">
        <v>1.1717000007629299</v>
      </c>
      <c r="D353">
        <v>1.1720000505447301</v>
      </c>
      <c r="E353">
        <v>1.1710000038146899</v>
      </c>
      <c r="F353">
        <v>1.1712499856948799</v>
      </c>
      <c r="G353">
        <v>22</v>
      </c>
      <c r="H353">
        <v>1.1718299865722599</v>
      </c>
      <c r="I353" s="1">
        <v>-4.0006637573197697E-5</v>
      </c>
      <c r="J353" t="str">
        <f t="shared" si="43"/>
        <v>DOWN</v>
      </c>
      <c r="K353">
        <v>1.1708699941635099</v>
      </c>
      <c r="L353" s="1">
        <v>-9.989738463112019E-7</v>
      </c>
      <c r="M353" t="str">
        <f t="shared" si="44"/>
        <v>DOWN</v>
      </c>
      <c r="N353">
        <v>9.5999240875244097E-4</v>
      </c>
      <c r="O353" t="str">
        <f t="shared" si="45"/>
        <v>UP</v>
      </c>
      <c r="P353">
        <v>55.0799701757566</v>
      </c>
      <c r="Q353">
        <v>1.7808161925961801</v>
      </c>
      <c r="R353" t="str">
        <f t="shared" si="46"/>
        <v>UP</v>
      </c>
      <c r="S353">
        <v>1.1713000535964899</v>
      </c>
      <c r="T353" t="str">
        <f t="shared" si="40"/>
        <v>DOWN</v>
      </c>
      <c r="U353">
        <v>1.1715500354766799</v>
      </c>
      <c r="V353" t="str">
        <f t="shared" si="47"/>
        <v>DOWN</v>
      </c>
      <c r="W353">
        <v>1.1715999841689999</v>
      </c>
      <c r="X353" t="str">
        <f t="shared" si="41"/>
        <v>UP</v>
      </c>
      <c r="Y353">
        <v>1.1718000173568699</v>
      </c>
      <c r="Z353" t="str">
        <f t="shared" si="42"/>
        <v>UP</v>
      </c>
      <c r="AA353">
        <v>0</v>
      </c>
      <c r="AB353">
        <v>0</v>
      </c>
      <c r="AC353">
        <v>0</v>
      </c>
      <c r="AD353">
        <v>0</v>
      </c>
    </row>
    <row r="354" spans="1:30" hidden="1" x14ac:dyDescent="0.35">
      <c r="A354" s="2">
        <v>45897</v>
      </c>
      <c r="B354" t="s">
        <v>35</v>
      </c>
      <c r="C354">
        <v>1.1713000535964899</v>
      </c>
      <c r="D354">
        <v>1.1725000143051101</v>
      </c>
      <c r="E354">
        <v>1.1710000038146899</v>
      </c>
      <c r="F354">
        <v>1.1719499826431199</v>
      </c>
      <c r="G354">
        <v>74</v>
      </c>
      <c r="H354">
        <v>1.1715600013732901</v>
      </c>
      <c r="I354">
        <v>-2.6998519897469798E-4</v>
      </c>
      <c r="J354" t="str">
        <f t="shared" si="43"/>
        <v>DOWN</v>
      </c>
      <c r="K354">
        <v>1.1708799958228999</v>
      </c>
      <c r="L354" s="1">
        <v>1.00016593933549E-5</v>
      </c>
      <c r="M354" t="str">
        <f t="shared" si="44"/>
        <v>UP</v>
      </c>
      <c r="N354">
        <v>6.8000555038438804E-4</v>
      </c>
      <c r="O354" t="str">
        <f t="shared" si="45"/>
        <v>UP</v>
      </c>
      <c r="P354">
        <v>52.2214749322074</v>
      </c>
      <c r="Q354">
        <v>-2.8584952435492199</v>
      </c>
      <c r="R354" t="str">
        <f t="shared" si="46"/>
        <v>DOWN</v>
      </c>
      <c r="S354">
        <v>1.1710000038146899</v>
      </c>
      <c r="T354" t="str">
        <f t="shared" si="40"/>
        <v>UP</v>
      </c>
      <c r="U354">
        <v>1.1713000535964899</v>
      </c>
      <c r="V354" t="str">
        <f t="shared" si="47"/>
        <v>DOWN</v>
      </c>
      <c r="W354">
        <v>1.1720000505447301</v>
      </c>
      <c r="X354" t="str">
        <f t="shared" si="41"/>
        <v>UP</v>
      </c>
      <c r="Y354">
        <v>1.1715999841689999</v>
      </c>
      <c r="Z354" t="str">
        <f t="shared" si="42"/>
        <v>UP</v>
      </c>
      <c r="AA354">
        <v>0</v>
      </c>
      <c r="AB354">
        <v>0</v>
      </c>
      <c r="AC354">
        <v>0</v>
      </c>
      <c r="AD354">
        <v>0</v>
      </c>
    </row>
    <row r="355" spans="1:30" hidden="1" x14ac:dyDescent="0.35">
      <c r="A355" s="2">
        <v>45897</v>
      </c>
      <c r="B355" t="s">
        <v>36</v>
      </c>
      <c r="C355">
        <v>1.1717499494552599</v>
      </c>
      <c r="D355">
        <v>1.1718499660491899</v>
      </c>
      <c r="E355">
        <v>1.1707500219345</v>
      </c>
      <c r="F355">
        <v>1.1708999872207599</v>
      </c>
      <c r="G355">
        <v>67</v>
      </c>
      <c r="H355">
        <v>1.1715399980545</v>
      </c>
      <c r="I355" s="1">
        <v>-2.0003318786487799E-5</v>
      </c>
      <c r="J355" t="str">
        <f t="shared" si="43"/>
        <v>DOWN</v>
      </c>
      <c r="K355">
        <v>1.17089599370956</v>
      </c>
      <c r="L355" s="1">
        <v>1.5997886657625999E-5</v>
      </c>
      <c r="M355" t="str">
        <f t="shared" si="44"/>
        <v>UP</v>
      </c>
      <c r="N355">
        <v>6.4400434494027404E-4</v>
      </c>
      <c r="O355" t="str">
        <f t="shared" si="45"/>
        <v>UP</v>
      </c>
      <c r="P355">
        <v>55.047595949848898</v>
      </c>
      <c r="Q355">
        <v>2.8261210176414999</v>
      </c>
      <c r="R355" t="str">
        <f t="shared" si="46"/>
        <v>UP</v>
      </c>
      <c r="S355">
        <v>1.1710000038146899</v>
      </c>
      <c r="T355" t="str">
        <f t="shared" si="40"/>
        <v>DOWN</v>
      </c>
      <c r="U355">
        <v>1.1710000038146899</v>
      </c>
      <c r="V355" t="str">
        <f t="shared" si="47"/>
        <v>DOWN</v>
      </c>
      <c r="W355">
        <v>1.1725000143051101</v>
      </c>
      <c r="X355" t="str">
        <f t="shared" si="41"/>
        <v>DOWN</v>
      </c>
      <c r="Y355">
        <v>1.1720000505447301</v>
      </c>
      <c r="Z355" t="str">
        <f t="shared" si="42"/>
        <v>DOWN</v>
      </c>
      <c r="AA355">
        <v>0</v>
      </c>
      <c r="AB355">
        <v>1</v>
      </c>
      <c r="AC355">
        <v>0</v>
      </c>
      <c r="AD355">
        <v>0</v>
      </c>
    </row>
    <row r="356" spans="1:30" hidden="1" x14ac:dyDescent="0.35">
      <c r="A356" s="2">
        <v>45897</v>
      </c>
      <c r="B356" t="s">
        <v>37</v>
      </c>
      <c r="C356">
        <v>1.1726000308990401</v>
      </c>
      <c r="D356">
        <v>1.1728999614715501</v>
      </c>
      <c r="E356">
        <v>1.1720999479293801</v>
      </c>
      <c r="F356">
        <v>1.1720999479293801</v>
      </c>
      <c r="G356">
        <v>611</v>
      </c>
      <c r="H356">
        <v>1.17174999713897</v>
      </c>
      <c r="I356">
        <v>2.09999084472611E-4</v>
      </c>
      <c r="J356" t="str">
        <f t="shared" si="43"/>
        <v>UP</v>
      </c>
      <c r="K356">
        <v>1.1709069943428001</v>
      </c>
      <c r="L356" s="1">
        <v>1.10006332396661E-5</v>
      </c>
      <c r="M356" t="str">
        <f t="shared" si="44"/>
        <v>UP</v>
      </c>
      <c r="N356">
        <v>8.4300279617322005E-4</v>
      </c>
      <c r="O356" t="str">
        <f t="shared" si="45"/>
        <v>UP</v>
      </c>
      <c r="P356">
        <v>59.876911622707603</v>
      </c>
      <c r="Q356">
        <v>4.8293156728587396</v>
      </c>
      <c r="R356" t="str">
        <f t="shared" si="46"/>
        <v>UP</v>
      </c>
      <c r="S356">
        <v>1.1707500219345</v>
      </c>
      <c r="T356" t="str">
        <f t="shared" si="40"/>
        <v>UP</v>
      </c>
      <c r="U356">
        <v>1.1710000038146899</v>
      </c>
      <c r="V356" t="str">
        <f t="shared" si="47"/>
        <v>UP</v>
      </c>
      <c r="W356">
        <v>1.1718499660491899</v>
      </c>
      <c r="X356" t="str">
        <f t="shared" si="41"/>
        <v>UP</v>
      </c>
      <c r="Y356">
        <v>1.1725000143051101</v>
      </c>
      <c r="Z356" t="str">
        <f t="shared" si="42"/>
        <v>UP</v>
      </c>
      <c r="AA356">
        <v>0</v>
      </c>
      <c r="AB356">
        <v>0</v>
      </c>
      <c r="AC356">
        <v>0</v>
      </c>
      <c r="AD356">
        <v>0</v>
      </c>
    </row>
    <row r="357" spans="1:30" hidden="1" x14ac:dyDescent="0.35">
      <c r="A357" s="2">
        <v>45897</v>
      </c>
      <c r="B357" t="s">
        <v>20</v>
      </c>
      <c r="C357">
        <v>1.17470002174377</v>
      </c>
      <c r="D357">
        <v>1.17505002021789</v>
      </c>
      <c r="E357">
        <v>1.1727999448776201</v>
      </c>
      <c r="F357">
        <v>1.1727999448776201</v>
      </c>
      <c r="G357">
        <v>250</v>
      </c>
      <c r="H357">
        <v>1.1724100112914999</v>
      </c>
      <c r="I357">
        <v>6.6001415252681095E-4</v>
      </c>
      <c r="J357" t="str">
        <f t="shared" si="43"/>
        <v>UP</v>
      </c>
      <c r="K357">
        <v>1.17098899364471</v>
      </c>
      <c r="L357" s="1">
        <v>8.19993019105513E-5</v>
      </c>
      <c r="M357" t="str">
        <f t="shared" si="44"/>
        <v>UP</v>
      </c>
      <c r="N357">
        <v>1.42101764678947E-3</v>
      </c>
      <c r="O357" t="str">
        <f t="shared" si="45"/>
        <v>UP</v>
      </c>
      <c r="P357">
        <v>68.795425385261396</v>
      </c>
      <c r="Q357">
        <v>8.9185137625538093</v>
      </c>
      <c r="R357" t="str">
        <f t="shared" si="46"/>
        <v>UP</v>
      </c>
      <c r="S357">
        <v>1.1720999479293801</v>
      </c>
      <c r="T357" t="str">
        <f t="shared" si="40"/>
        <v>UP</v>
      </c>
      <c r="U357">
        <v>1.1707500219345</v>
      </c>
      <c r="V357" t="str">
        <f t="shared" si="47"/>
        <v>UP</v>
      </c>
      <c r="W357">
        <v>1.1728999614715501</v>
      </c>
      <c r="X357" t="str">
        <f t="shared" si="41"/>
        <v>UP</v>
      </c>
      <c r="Y357">
        <v>1.1718499660491899</v>
      </c>
      <c r="Z357" t="str">
        <f t="shared" si="42"/>
        <v>UP</v>
      </c>
      <c r="AA357">
        <v>0</v>
      </c>
      <c r="AB357">
        <v>0</v>
      </c>
      <c r="AC357">
        <v>0</v>
      </c>
      <c r="AD357">
        <v>0</v>
      </c>
    </row>
    <row r="358" spans="1:30" hidden="1" x14ac:dyDescent="0.35">
      <c r="A358" s="2">
        <v>45897</v>
      </c>
      <c r="B358" t="s">
        <v>21</v>
      </c>
      <c r="C358">
        <v>1.17410004138946</v>
      </c>
      <c r="D358">
        <v>1.17484998703002</v>
      </c>
      <c r="E358">
        <v>1.17379999160766</v>
      </c>
      <c r="F358">
        <v>1.17464995384216</v>
      </c>
      <c r="G358">
        <v>53</v>
      </c>
      <c r="H358">
        <v>1.1728900194167999</v>
      </c>
      <c r="I358">
        <v>4.8000812530513099E-4</v>
      </c>
      <c r="J358" t="str">
        <f t="shared" si="43"/>
        <v>UP</v>
      </c>
      <c r="K358">
        <v>1.1710719943046499</v>
      </c>
      <c r="L358" s="1">
        <v>8.3000659942600294E-5</v>
      </c>
      <c r="M358" t="str">
        <f t="shared" si="44"/>
        <v>UP</v>
      </c>
      <c r="N358">
        <v>1.8180251121520099E-3</v>
      </c>
      <c r="O358" t="str">
        <f t="shared" si="45"/>
        <v>UP</v>
      </c>
      <c r="P358">
        <v>64.391585093579593</v>
      </c>
      <c r="Q358">
        <v>-4.4038402916818704</v>
      </c>
      <c r="R358" t="str">
        <f t="shared" si="46"/>
        <v>DOWN</v>
      </c>
      <c r="S358">
        <v>1.1727999448776201</v>
      </c>
      <c r="T358" t="str">
        <f t="shared" si="40"/>
        <v>UP</v>
      </c>
      <c r="U358">
        <v>1.1720999479293801</v>
      </c>
      <c r="V358" t="str">
        <f t="shared" si="47"/>
        <v>UP</v>
      </c>
      <c r="W358">
        <v>1.17505002021789</v>
      </c>
      <c r="X358" t="str">
        <f t="shared" si="41"/>
        <v>DOWN</v>
      </c>
      <c r="Y358">
        <v>1.1728999614715501</v>
      </c>
      <c r="Z358" t="str">
        <f t="shared" si="42"/>
        <v>UP</v>
      </c>
      <c r="AA358">
        <v>0</v>
      </c>
      <c r="AB358">
        <v>0</v>
      </c>
      <c r="AC358">
        <v>0</v>
      </c>
      <c r="AD358">
        <v>0</v>
      </c>
    </row>
    <row r="359" spans="1:30" hidden="1" x14ac:dyDescent="0.35">
      <c r="A359" s="2">
        <v>45897</v>
      </c>
      <c r="B359" t="s">
        <v>22</v>
      </c>
      <c r="C359">
        <v>1.17455005645751</v>
      </c>
      <c r="D359">
        <v>1.1762000322341899</v>
      </c>
      <c r="E359">
        <v>1.17394995689392</v>
      </c>
      <c r="F359">
        <v>1.1744999885559</v>
      </c>
      <c r="G359">
        <v>2131</v>
      </c>
      <c r="H359">
        <v>1.17354001998901</v>
      </c>
      <c r="I359">
        <v>6.50000572204545E-4</v>
      </c>
      <c r="J359" t="str">
        <f t="shared" si="43"/>
        <v>UP</v>
      </c>
      <c r="K359">
        <v>1.17116599559783</v>
      </c>
      <c r="L359" s="1">
        <v>9.4001293182266398E-5</v>
      </c>
      <c r="M359" t="str">
        <f t="shared" si="44"/>
        <v>UP</v>
      </c>
      <c r="N359">
        <v>2.3740243911742798E-3</v>
      </c>
      <c r="O359" t="str">
        <f t="shared" si="45"/>
        <v>UP</v>
      </c>
      <c r="P359">
        <v>66.142256811132597</v>
      </c>
      <c r="Q359">
        <v>1.75067171755303</v>
      </c>
      <c r="R359" t="str">
        <f t="shared" si="46"/>
        <v>UP</v>
      </c>
      <c r="S359">
        <v>1.17379999160766</v>
      </c>
      <c r="T359" t="str">
        <f t="shared" si="40"/>
        <v>UP</v>
      </c>
      <c r="U359">
        <v>1.1727999448776201</v>
      </c>
      <c r="V359" t="str">
        <f t="shared" si="47"/>
        <v>UP</v>
      </c>
      <c r="W359">
        <v>1.17484998703002</v>
      </c>
      <c r="X359" t="str">
        <f t="shared" si="41"/>
        <v>UP</v>
      </c>
      <c r="Y359">
        <v>1.17505002021789</v>
      </c>
      <c r="Z359" t="str">
        <f t="shared" si="42"/>
        <v>UP</v>
      </c>
      <c r="AA359">
        <v>0</v>
      </c>
      <c r="AB359">
        <v>0</v>
      </c>
      <c r="AC359">
        <v>0</v>
      </c>
      <c r="AD359">
        <v>0</v>
      </c>
    </row>
    <row r="360" spans="1:30" hidden="1" x14ac:dyDescent="0.35">
      <c r="A360" s="2">
        <v>45897</v>
      </c>
      <c r="B360" t="s">
        <v>23</v>
      </c>
      <c r="C360">
        <v>1.17490005493164</v>
      </c>
      <c r="D360">
        <v>1.17495000362396</v>
      </c>
      <c r="E360">
        <v>1.17365002632141</v>
      </c>
      <c r="F360">
        <v>1.17435002326965</v>
      </c>
      <c r="G360">
        <v>67</v>
      </c>
      <c r="H360">
        <v>1.1741700410842799</v>
      </c>
      <c r="I360">
        <v>6.3002109527587804E-4</v>
      </c>
      <c r="J360" t="str">
        <f t="shared" si="43"/>
        <v>UP</v>
      </c>
      <c r="K360">
        <v>1.1712179970741201</v>
      </c>
      <c r="L360" s="1">
        <v>5.2001476287921699E-5</v>
      </c>
      <c r="M360" t="str">
        <f t="shared" si="44"/>
        <v>UP</v>
      </c>
      <c r="N360">
        <v>2.95204401016224E-3</v>
      </c>
      <c r="O360" t="str">
        <f t="shared" si="45"/>
        <v>UP</v>
      </c>
      <c r="P360">
        <v>67.481342772141403</v>
      </c>
      <c r="Q360">
        <v>1.33908596100879</v>
      </c>
      <c r="R360" t="str">
        <f t="shared" si="46"/>
        <v>UP</v>
      </c>
      <c r="S360">
        <v>1.17394995689392</v>
      </c>
      <c r="T360" t="str">
        <f t="shared" si="40"/>
        <v>DOWN</v>
      </c>
      <c r="U360">
        <v>1.17379999160766</v>
      </c>
      <c r="V360" t="str">
        <f t="shared" si="47"/>
        <v>DOWN</v>
      </c>
      <c r="W360">
        <v>1.1762000322341899</v>
      </c>
      <c r="X360" t="str">
        <f t="shared" si="41"/>
        <v>DOWN</v>
      </c>
      <c r="Y360">
        <v>1.17484998703002</v>
      </c>
      <c r="Z360" t="str">
        <f t="shared" si="42"/>
        <v>UP</v>
      </c>
      <c r="AA360">
        <v>0</v>
      </c>
      <c r="AB360">
        <v>0</v>
      </c>
      <c r="AC360">
        <v>0</v>
      </c>
      <c r="AD360">
        <v>0</v>
      </c>
    </row>
    <row r="361" spans="1:30" hidden="1" x14ac:dyDescent="0.35">
      <c r="A361" s="2">
        <v>45897</v>
      </c>
      <c r="B361" t="s">
        <v>24</v>
      </c>
      <c r="C361">
        <v>1.17474997043609</v>
      </c>
      <c r="D361">
        <v>1.1761499643325799</v>
      </c>
      <c r="E361">
        <v>1.1744999885559</v>
      </c>
      <c r="F361">
        <v>1.17499995231628</v>
      </c>
      <c r="G361">
        <v>157</v>
      </c>
      <c r="H361">
        <v>1.17460002899169</v>
      </c>
      <c r="I361">
        <v>4.2998790740966699E-4</v>
      </c>
      <c r="J361" t="str">
        <f t="shared" si="43"/>
        <v>UP</v>
      </c>
      <c r="K361">
        <v>1.17126599550247</v>
      </c>
      <c r="L361" s="1">
        <v>4.7998428344797603E-5</v>
      </c>
      <c r="M361" t="str">
        <f t="shared" si="44"/>
        <v>UP</v>
      </c>
      <c r="N361">
        <v>3.3340334892271099E-3</v>
      </c>
      <c r="O361" t="str">
        <f t="shared" si="45"/>
        <v>UP</v>
      </c>
      <c r="P361">
        <v>66.270945381878306</v>
      </c>
      <c r="Q361">
        <v>-1.21039739026311</v>
      </c>
      <c r="R361" t="str">
        <f t="shared" si="46"/>
        <v>DOWN</v>
      </c>
      <c r="S361">
        <v>1.17365002632141</v>
      </c>
      <c r="T361" t="str">
        <f t="shared" si="40"/>
        <v>UP</v>
      </c>
      <c r="U361">
        <v>1.17394995689392</v>
      </c>
      <c r="V361" t="str">
        <f t="shared" si="47"/>
        <v>UP</v>
      </c>
      <c r="W361">
        <v>1.17495000362396</v>
      </c>
      <c r="X361" t="str">
        <f t="shared" si="41"/>
        <v>UP</v>
      </c>
      <c r="Y361">
        <v>1.1762000322341899</v>
      </c>
      <c r="Z361" t="str">
        <f t="shared" si="42"/>
        <v>DOWN</v>
      </c>
      <c r="AA361">
        <v>0</v>
      </c>
      <c r="AB361">
        <v>0</v>
      </c>
      <c r="AC361">
        <v>0</v>
      </c>
      <c r="AD361">
        <v>0</v>
      </c>
    </row>
    <row r="362" spans="1:30" hidden="1" x14ac:dyDescent="0.35">
      <c r="A362" s="2">
        <v>45897</v>
      </c>
      <c r="B362" t="s">
        <v>25</v>
      </c>
      <c r="C362">
        <v>1.17484998703002</v>
      </c>
      <c r="D362">
        <v>1.17505002021789</v>
      </c>
      <c r="E362">
        <v>1.17400002479553</v>
      </c>
      <c r="F362">
        <v>1.17460000514984</v>
      </c>
      <c r="G362">
        <v>237</v>
      </c>
      <c r="H362">
        <v>1.1746300220489501</v>
      </c>
      <c r="I362" s="1">
        <v>2.99930572511541E-5</v>
      </c>
      <c r="J362" t="str">
        <f t="shared" si="43"/>
        <v>UP</v>
      </c>
      <c r="K362">
        <v>1.17129099607467</v>
      </c>
      <c r="L362" s="1">
        <v>2.5000572204447701E-5</v>
      </c>
      <c r="M362" t="str">
        <f t="shared" si="44"/>
        <v>UP</v>
      </c>
      <c r="N362">
        <v>3.3390259742738198E-3</v>
      </c>
      <c r="O362" t="str">
        <f t="shared" si="45"/>
        <v>UP</v>
      </c>
      <c r="P362">
        <v>66.699606938480301</v>
      </c>
      <c r="Q362">
        <v>0.428661556602079</v>
      </c>
      <c r="R362" t="str">
        <f t="shared" si="46"/>
        <v>UP</v>
      </c>
      <c r="S362">
        <v>1.1744999885559</v>
      </c>
      <c r="T362" t="str">
        <f t="shared" si="40"/>
        <v>DOWN</v>
      </c>
      <c r="U362">
        <v>1.17365002632141</v>
      </c>
      <c r="V362" t="str">
        <f t="shared" si="47"/>
        <v>UP</v>
      </c>
      <c r="W362">
        <v>1.1761499643325799</v>
      </c>
      <c r="X362" t="str">
        <f t="shared" si="41"/>
        <v>DOWN</v>
      </c>
      <c r="Y362">
        <v>1.17495000362396</v>
      </c>
      <c r="Z362" t="str">
        <f t="shared" si="42"/>
        <v>UP</v>
      </c>
      <c r="AA362">
        <v>0</v>
      </c>
      <c r="AB362">
        <v>0</v>
      </c>
      <c r="AC362">
        <v>0</v>
      </c>
      <c r="AD362">
        <v>0</v>
      </c>
    </row>
    <row r="363" spans="1:30" hidden="1" x14ac:dyDescent="0.35">
      <c r="A363" s="2">
        <v>45897</v>
      </c>
      <c r="B363" t="s">
        <v>26</v>
      </c>
      <c r="C363">
        <v>1.1765999794006301</v>
      </c>
      <c r="D363">
        <v>1.1765999794006301</v>
      </c>
      <c r="E363">
        <v>1.1753000020980799</v>
      </c>
      <c r="F363">
        <v>1.1753000020980799</v>
      </c>
      <c r="G363">
        <v>99</v>
      </c>
      <c r="H363">
        <v>1.1751300096511801</v>
      </c>
      <c r="I363">
        <v>4.9998760223379703E-4</v>
      </c>
      <c r="J363" t="str">
        <f t="shared" si="43"/>
        <v>UP</v>
      </c>
      <c r="K363">
        <v>1.17136799573898</v>
      </c>
      <c r="L363" s="1">
        <v>7.6999664306631703E-5</v>
      </c>
      <c r="M363" t="str">
        <f t="shared" si="44"/>
        <v>UP</v>
      </c>
      <c r="N363">
        <v>3.7620139122009899E-3</v>
      </c>
      <c r="O363" t="str">
        <f t="shared" si="45"/>
        <v>UP</v>
      </c>
      <c r="P363">
        <v>73.133456983052795</v>
      </c>
      <c r="Q363">
        <v>6.43385004457242</v>
      </c>
      <c r="R363" t="str">
        <f t="shared" si="46"/>
        <v>UP</v>
      </c>
      <c r="S363">
        <v>1.17400002479553</v>
      </c>
      <c r="T363" t="str">
        <f t="shared" si="40"/>
        <v>UP</v>
      </c>
      <c r="U363">
        <v>1.1744999885559</v>
      </c>
      <c r="V363" t="str">
        <f t="shared" si="47"/>
        <v>UP</v>
      </c>
      <c r="W363">
        <v>1.17505002021789</v>
      </c>
      <c r="X363" t="str">
        <f t="shared" si="41"/>
        <v>UP</v>
      </c>
      <c r="Y363">
        <v>1.1761499643325799</v>
      </c>
      <c r="Z363" t="str">
        <f t="shared" si="42"/>
        <v>UP</v>
      </c>
      <c r="AA363">
        <v>0</v>
      </c>
      <c r="AB363">
        <v>0</v>
      </c>
      <c r="AC363">
        <v>0</v>
      </c>
      <c r="AD363">
        <v>0</v>
      </c>
    </row>
    <row r="364" spans="1:30" hidden="1" x14ac:dyDescent="0.35">
      <c r="A364" s="2">
        <v>45897</v>
      </c>
      <c r="B364" t="s">
        <v>27</v>
      </c>
      <c r="C364">
        <v>1.1764500141143699</v>
      </c>
      <c r="D364">
        <v>1.1772999763488701</v>
      </c>
      <c r="E364">
        <v>1.1763499975204399</v>
      </c>
      <c r="F364">
        <v>1.1770000457763601</v>
      </c>
      <c r="G364">
        <v>1592</v>
      </c>
      <c r="H364">
        <v>1.1755100011825499</v>
      </c>
      <c r="I364">
        <v>3.7999153137202498E-4</v>
      </c>
      <c r="J364" t="str">
        <f t="shared" si="43"/>
        <v>UP</v>
      </c>
      <c r="K364">
        <v>1.1714319968223501</v>
      </c>
      <c r="L364" s="1">
        <v>6.4001083374121096E-5</v>
      </c>
      <c r="M364" t="str">
        <f t="shared" si="44"/>
        <v>UP</v>
      </c>
      <c r="N364">
        <v>4.0780043601988903E-3</v>
      </c>
      <c r="O364" t="str">
        <f t="shared" si="45"/>
        <v>UP</v>
      </c>
      <c r="P364">
        <v>71.852302405428404</v>
      </c>
      <c r="Q364">
        <v>-1.28115457762439</v>
      </c>
      <c r="R364" t="str">
        <f t="shared" si="46"/>
        <v>DOWN</v>
      </c>
      <c r="S364">
        <v>1.1753000020980799</v>
      </c>
      <c r="T364" t="str">
        <f t="shared" si="40"/>
        <v>UP</v>
      </c>
      <c r="U364">
        <v>1.17400002479553</v>
      </c>
      <c r="V364" t="str">
        <f t="shared" si="47"/>
        <v>UP</v>
      </c>
      <c r="W364">
        <v>1.1765999794006301</v>
      </c>
      <c r="X364" t="str">
        <f t="shared" si="41"/>
        <v>UP</v>
      </c>
      <c r="Y364">
        <v>1.17505002021789</v>
      </c>
      <c r="Z364" t="str">
        <f t="shared" si="42"/>
        <v>UP</v>
      </c>
      <c r="AA364">
        <v>1</v>
      </c>
      <c r="AB364">
        <v>0</v>
      </c>
      <c r="AC364">
        <v>0</v>
      </c>
      <c r="AD364">
        <v>0</v>
      </c>
    </row>
    <row r="365" spans="1:30" hidden="1" x14ac:dyDescent="0.35">
      <c r="A365" s="2">
        <v>45897</v>
      </c>
      <c r="B365" t="s">
        <v>38</v>
      </c>
      <c r="C365">
        <v>1.1765500307083101</v>
      </c>
      <c r="D365">
        <v>1.1765500307083101</v>
      </c>
      <c r="E365">
        <v>1.1761499643325799</v>
      </c>
      <c r="F365">
        <v>1.1764500141143699</v>
      </c>
      <c r="G365">
        <v>54</v>
      </c>
      <c r="H365">
        <v>1.17583999633789</v>
      </c>
      <c r="I365">
        <v>3.2999515533460502E-4</v>
      </c>
      <c r="J365" t="str">
        <f t="shared" si="43"/>
        <v>UP</v>
      </c>
      <c r="K365">
        <v>1.1714939975738501</v>
      </c>
      <c r="L365" s="1">
        <v>6.2000751495316906E-5</v>
      </c>
      <c r="M365" t="str">
        <f t="shared" si="44"/>
        <v>UP</v>
      </c>
      <c r="N365">
        <v>4.3459987640381802E-3</v>
      </c>
      <c r="O365" t="str">
        <f t="shared" si="45"/>
        <v>UP</v>
      </c>
      <c r="P365">
        <v>72.202057528655601</v>
      </c>
      <c r="Q365">
        <v>0.34975512322725399</v>
      </c>
      <c r="R365" t="str">
        <f t="shared" si="46"/>
        <v>UP</v>
      </c>
      <c r="S365">
        <v>1.1763499975204399</v>
      </c>
      <c r="T365" t="str">
        <f t="shared" si="40"/>
        <v>DOWN</v>
      </c>
      <c r="U365">
        <v>1.1753000020980799</v>
      </c>
      <c r="V365" t="str">
        <f t="shared" si="47"/>
        <v>UP</v>
      </c>
      <c r="W365">
        <v>1.1772999763488701</v>
      </c>
      <c r="X365" t="str">
        <f t="shared" si="41"/>
        <v>DOWN</v>
      </c>
      <c r="Y365">
        <v>1.1765999794006301</v>
      </c>
      <c r="Z365" t="str">
        <f t="shared" si="42"/>
        <v>DOWN</v>
      </c>
      <c r="AA365">
        <v>0</v>
      </c>
      <c r="AB365">
        <v>0</v>
      </c>
      <c r="AC365">
        <v>0</v>
      </c>
      <c r="AD365">
        <v>0</v>
      </c>
    </row>
    <row r="366" spans="1:30" hidden="1" x14ac:dyDescent="0.35">
      <c r="A366" s="2">
        <v>45897</v>
      </c>
      <c r="B366" t="s">
        <v>28</v>
      </c>
      <c r="C366">
        <v>1.1763000488281199</v>
      </c>
      <c r="D366">
        <v>1.1765500307083101</v>
      </c>
      <c r="E366">
        <v>1.1761499643325799</v>
      </c>
      <c r="F366">
        <v>1.1765500307083101</v>
      </c>
      <c r="G366">
        <v>415</v>
      </c>
      <c r="H366">
        <v>1.17615001201629</v>
      </c>
      <c r="I366">
        <v>3.1001567840571698E-4</v>
      </c>
      <c r="J366" t="str">
        <f t="shared" si="43"/>
        <v>UP</v>
      </c>
      <c r="K366">
        <v>1.1715499997138901</v>
      </c>
      <c r="L366" s="1">
        <v>5.6002140045085998E-5</v>
      </c>
      <c r="M366" t="str">
        <f t="shared" si="44"/>
        <v>UP</v>
      </c>
      <c r="N366">
        <v>4.6000123023988097E-3</v>
      </c>
      <c r="O366" t="str">
        <f t="shared" si="45"/>
        <v>UP</v>
      </c>
      <c r="P366">
        <v>69.865350820055895</v>
      </c>
      <c r="Q366">
        <v>-2.33670670859973</v>
      </c>
      <c r="R366" t="str">
        <f t="shared" si="46"/>
        <v>DOWN</v>
      </c>
      <c r="S366">
        <v>1.1761499643325799</v>
      </c>
      <c r="T366" t="str">
        <f t="shared" si="40"/>
        <v>UP</v>
      </c>
      <c r="U366">
        <v>1.1763499975204399</v>
      </c>
      <c r="V366" t="str">
        <f t="shared" si="47"/>
        <v>DOWN</v>
      </c>
      <c r="W366">
        <v>1.1765500307083101</v>
      </c>
      <c r="X366" t="str">
        <f t="shared" si="41"/>
        <v>DOWN</v>
      </c>
      <c r="Y366">
        <v>1.1772999763488701</v>
      </c>
      <c r="Z366" t="str">
        <f t="shared" si="42"/>
        <v>DOWN</v>
      </c>
      <c r="AA366">
        <v>0</v>
      </c>
      <c r="AB366">
        <v>0</v>
      </c>
      <c r="AC366">
        <v>0</v>
      </c>
      <c r="AD366">
        <v>0</v>
      </c>
    </row>
    <row r="367" spans="1:30" hidden="1" x14ac:dyDescent="0.35">
      <c r="A367" s="2">
        <v>45897</v>
      </c>
      <c r="B367" t="s">
        <v>39</v>
      </c>
      <c r="C367">
        <v>1.1755000352859399</v>
      </c>
      <c r="D367">
        <v>1.1757999658584499</v>
      </c>
      <c r="E367">
        <v>1.1755000352859399</v>
      </c>
      <c r="F367">
        <v>1.1757999658584499</v>
      </c>
      <c r="G367">
        <v>1989</v>
      </c>
      <c r="H367">
        <v>1.17628002166748</v>
      </c>
      <c r="I367">
        <v>1.30009651184037E-4</v>
      </c>
      <c r="J367" t="str">
        <f t="shared" si="43"/>
        <v>UP</v>
      </c>
      <c r="K367">
        <v>1.1715939998626701</v>
      </c>
      <c r="L367" s="1">
        <v>4.40001487733709E-5</v>
      </c>
      <c r="M367" t="str">
        <f t="shared" si="44"/>
        <v>UP</v>
      </c>
      <c r="N367">
        <v>4.6860218048094798E-3</v>
      </c>
      <c r="O367" t="str">
        <f t="shared" si="45"/>
        <v>UP</v>
      </c>
      <c r="P367">
        <v>62.854590431559799</v>
      </c>
      <c r="Q367">
        <v>-7.0107603884960703</v>
      </c>
      <c r="R367" t="str">
        <f t="shared" si="46"/>
        <v>DOWN</v>
      </c>
      <c r="S367">
        <v>1.1761499643325799</v>
      </c>
      <c r="T367" t="str">
        <f t="shared" si="40"/>
        <v>DOWN</v>
      </c>
      <c r="U367">
        <v>1.1761499643325799</v>
      </c>
      <c r="V367" t="str">
        <f t="shared" si="47"/>
        <v>DOWN</v>
      </c>
      <c r="W367">
        <v>1.1765500307083101</v>
      </c>
      <c r="X367" t="str">
        <f t="shared" si="41"/>
        <v>DOWN</v>
      </c>
      <c r="Y367">
        <v>1.1765500307083101</v>
      </c>
      <c r="Z367" t="str">
        <f t="shared" si="42"/>
        <v>DOWN</v>
      </c>
      <c r="AA367">
        <v>0</v>
      </c>
      <c r="AB367">
        <v>0</v>
      </c>
      <c r="AC367">
        <v>0</v>
      </c>
      <c r="AD367">
        <v>0</v>
      </c>
    </row>
    <row r="368" spans="1:30" hidden="1" x14ac:dyDescent="0.35">
      <c r="A368" s="2">
        <v>45897</v>
      </c>
      <c r="B368" t="s">
        <v>40</v>
      </c>
      <c r="C368">
        <v>1.17499995231628</v>
      </c>
      <c r="D368">
        <v>1.1755499839782699</v>
      </c>
      <c r="E368">
        <v>1.17490005493164</v>
      </c>
      <c r="F368">
        <v>1.1755499839782699</v>
      </c>
      <c r="G368">
        <v>0</v>
      </c>
      <c r="H368">
        <v>1.1759600162506101</v>
      </c>
      <c r="I368">
        <v>-3.20005416870161E-4</v>
      </c>
      <c r="J368" t="str">
        <f t="shared" si="43"/>
        <v>DOWN</v>
      </c>
      <c r="K368">
        <v>1.17165499925613</v>
      </c>
      <c r="L368" s="1">
        <v>6.09993934630459E-5</v>
      </c>
      <c r="M368" t="str">
        <f t="shared" si="44"/>
        <v>UP</v>
      </c>
      <c r="N368">
        <v>4.3050169944762696E-3</v>
      </c>
      <c r="O368" t="str">
        <f t="shared" si="45"/>
        <v>UP</v>
      </c>
      <c r="P368">
        <v>58.877357731240402</v>
      </c>
      <c r="Q368">
        <v>-3.9772327003193899</v>
      </c>
      <c r="R368" t="str">
        <f t="shared" si="46"/>
        <v>DOWN</v>
      </c>
      <c r="S368">
        <v>1.1755000352859399</v>
      </c>
      <c r="T368" t="str">
        <f t="shared" si="40"/>
        <v>DOWN</v>
      </c>
      <c r="U368">
        <v>1.1761499643325799</v>
      </c>
      <c r="V368" t="str">
        <f t="shared" si="47"/>
        <v>DOWN</v>
      </c>
      <c r="W368">
        <v>1.1757999658584499</v>
      </c>
      <c r="X368" t="str">
        <f t="shared" si="41"/>
        <v>DOWN</v>
      </c>
      <c r="Y368">
        <v>1.1765500307083101</v>
      </c>
      <c r="Z368" t="str">
        <f t="shared" si="42"/>
        <v>DOWN</v>
      </c>
      <c r="AA368">
        <v>0</v>
      </c>
      <c r="AB368">
        <v>0</v>
      </c>
      <c r="AC368">
        <v>0</v>
      </c>
      <c r="AD368">
        <v>0</v>
      </c>
    </row>
    <row r="369" spans="1:30" hidden="1" x14ac:dyDescent="0.35">
      <c r="A369" s="2">
        <v>45897</v>
      </c>
      <c r="B369" t="s">
        <v>42</v>
      </c>
      <c r="C369">
        <v>1.1753000020980799</v>
      </c>
      <c r="D369">
        <v>1.1754000186920099</v>
      </c>
      <c r="E369">
        <v>1.1753000020980799</v>
      </c>
      <c r="F369">
        <v>1.1754000186920099</v>
      </c>
      <c r="G369">
        <v>7</v>
      </c>
      <c r="H369">
        <v>1.1757300138473501</v>
      </c>
      <c r="I369">
        <v>-2.3000240325932099E-4</v>
      </c>
      <c r="J369" t="str">
        <f t="shared" si="43"/>
        <v>DOWN</v>
      </c>
      <c r="K369">
        <v>1.1717149996757501</v>
      </c>
      <c r="L369" s="1">
        <v>6.0000419616734698E-5</v>
      </c>
      <c r="M369" t="str">
        <f t="shared" si="44"/>
        <v>UP</v>
      </c>
      <c r="N369">
        <v>4.0150141716002096E-3</v>
      </c>
      <c r="O369" t="str">
        <f t="shared" si="45"/>
        <v>UP</v>
      </c>
      <c r="P369">
        <v>60.492674011908797</v>
      </c>
      <c r="Q369">
        <v>1.6153162806683501</v>
      </c>
      <c r="R369" t="str">
        <f t="shared" si="46"/>
        <v>UP</v>
      </c>
      <c r="S369">
        <v>1.17490005493164</v>
      </c>
      <c r="T369" t="str">
        <f t="shared" si="40"/>
        <v>UP</v>
      </c>
      <c r="U369">
        <v>1.1755000352859399</v>
      </c>
      <c r="V369" t="str">
        <f t="shared" si="47"/>
        <v>DOWN</v>
      </c>
      <c r="W369">
        <v>1.1755499839782699</v>
      </c>
      <c r="X369" t="str">
        <f t="shared" si="41"/>
        <v>DOWN</v>
      </c>
      <c r="Y369">
        <v>1.1757999658584499</v>
      </c>
      <c r="Z369" t="str">
        <f t="shared" si="42"/>
        <v>DOWN</v>
      </c>
      <c r="AA369">
        <v>0</v>
      </c>
      <c r="AB369">
        <v>0</v>
      </c>
      <c r="AC369">
        <v>0</v>
      </c>
      <c r="AD369">
        <v>0</v>
      </c>
    </row>
    <row r="370" spans="1:30" hidden="1" x14ac:dyDescent="0.35">
      <c r="A370" s="2">
        <v>45898</v>
      </c>
      <c r="B370" t="s">
        <v>29</v>
      </c>
      <c r="C370">
        <v>1.1757999658584499</v>
      </c>
      <c r="D370">
        <v>1.1757999658584499</v>
      </c>
      <c r="E370">
        <v>1.1757999658584499</v>
      </c>
      <c r="F370">
        <v>1.1757999658584499</v>
      </c>
      <c r="G370">
        <v>2</v>
      </c>
      <c r="H370">
        <v>1.17558000087738</v>
      </c>
      <c r="I370">
        <v>-1.50012969970525E-4</v>
      </c>
      <c r="J370" t="str">
        <f t="shared" si="43"/>
        <v>DOWN</v>
      </c>
      <c r="K370">
        <v>1.1717890000343301</v>
      </c>
      <c r="L370" s="1">
        <v>7.4000358581516296E-5</v>
      </c>
      <c r="M370" t="str">
        <f t="shared" si="44"/>
        <v>UP</v>
      </c>
      <c r="N370">
        <v>3.79100084304817E-3</v>
      </c>
      <c r="O370" t="str">
        <f t="shared" si="45"/>
        <v>UP</v>
      </c>
      <c r="P370">
        <v>63.094048401603899</v>
      </c>
      <c r="Q370">
        <v>2.6013743896951298</v>
      </c>
      <c r="R370" t="str">
        <f t="shared" si="46"/>
        <v>UP</v>
      </c>
      <c r="S370">
        <v>1.1753000020980799</v>
      </c>
      <c r="T370" t="str">
        <f t="shared" si="40"/>
        <v>UP</v>
      </c>
      <c r="U370">
        <v>1.17490005493164</v>
      </c>
      <c r="V370" t="str">
        <f t="shared" si="47"/>
        <v>UP</v>
      </c>
      <c r="W370">
        <v>1.1754000186920099</v>
      </c>
      <c r="X370" t="str">
        <f t="shared" si="41"/>
        <v>UP</v>
      </c>
      <c r="Y370">
        <v>1.1755499839782699</v>
      </c>
      <c r="Z370" t="str">
        <f t="shared" si="42"/>
        <v>UP</v>
      </c>
      <c r="AA370">
        <v>0</v>
      </c>
      <c r="AB370">
        <v>0</v>
      </c>
      <c r="AC370">
        <v>0</v>
      </c>
      <c r="AD370">
        <v>0</v>
      </c>
    </row>
    <row r="371" spans="1:30" hidden="1" x14ac:dyDescent="0.35">
      <c r="A371" s="2">
        <v>45898</v>
      </c>
      <c r="B371" t="s">
        <v>30</v>
      </c>
      <c r="C371">
        <v>1.17344999313354</v>
      </c>
      <c r="D371">
        <v>1.17509996891021</v>
      </c>
      <c r="E371">
        <v>1.17344999313354</v>
      </c>
      <c r="F371">
        <v>1.17509996891021</v>
      </c>
      <c r="G371">
        <v>38</v>
      </c>
      <c r="H371">
        <v>1.17500998973846</v>
      </c>
      <c r="I371">
        <v>-5.7001113891619304E-4</v>
      </c>
      <c r="J371" t="str">
        <f t="shared" si="43"/>
        <v>DOWN</v>
      </c>
      <c r="K371">
        <v>1.1718120002746499</v>
      </c>
      <c r="L371" s="1">
        <v>2.3000240325865501E-5</v>
      </c>
      <c r="M371" t="str">
        <f t="shared" si="44"/>
        <v>UP</v>
      </c>
      <c r="N371">
        <v>3.1979894638061099E-3</v>
      </c>
      <c r="O371" t="str">
        <f t="shared" si="45"/>
        <v>UP</v>
      </c>
      <c r="P371">
        <v>47.321749581114602</v>
      </c>
      <c r="Q371">
        <v>-15.772298820489301</v>
      </c>
      <c r="R371" t="str">
        <f t="shared" si="46"/>
        <v>DOWN</v>
      </c>
      <c r="S371">
        <v>1.1757999658584499</v>
      </c>
      <c r="T371" t="str">
        <f t="shared" si="40"/>
        <v>DOWN</v>
      </c>
      <c r="U371">
        <v>1.1753000020980799</v>
      </c>
      <c r="V371" t="str">
        <f t="shared" si="47"/>
        <v>DOWN</v>
      </c>
      <c r="W371">
        <v>1.1757999658584499</v>
      </c>
      <c r="X371" t="str">
        <f t="shared" si="41"/>
        <v>DOWN</v>
      </c>
      <c r="Y371">
        <v>1.1754000186920099</v>
      </c>
      <c r="Z371" t="str">
        <f t="shared" si="42"/>
        <v>DOWN</v>
      </c>
      <c r="AA371">
        <v>0</v>
      </c>
      <c r="AB371">
        <v>0</v>
      </c>
      <c r="AC371">
        <v>0</v>
      </c>
      <c r="AD371">
        <v>0</v>
      </c>
    </row>
    <row r="372" spans="1:30" hidden="1" x14ac:dyDescent="0.35">
      <c r="A372" s="2">
        <v>45898</v>
      </c>
      <c r="B372" t="s">
        <v>31</v>
      </c>
      <c r="C372">
        <v>1.17359995841979</v>
      </c>
      <c r="D372">
        <v>1.17410004138946</v>
      </c>
      <c r="E372">
        <v>1.17359995841979</v>
      </c>
      <c r="F372">
        <v>1.17359995841979</v>
      </c>
      <c r="G372">
        <v>14</v>
      </c>
      <c r="H372">
        <v>1.17462997436523</v>
      </c>
      <c r="I372">
        <v>-3.8001537322984703E-4</v>
      </c>
      <c r="J372" t="str">
        <f t="shared" si="43"/>
        <v>DOWN</v>
      </c>
      <c r="K372">
        <v>1.1718379998207</v>
      </c>
      <c r="L372" s="1">
        <v>2.59995460509809E-5</v>
      </c>
      <c r="M372" t="str">
        <f t="shared" si="44"/>
        <v>UP</v>
      </c>
      <c r="N372">
        <v>2.7919745445252799E-3</v>
      </c>
      <c r="O372" t="str">
        <f t="shared" si="45"/>
        <v>UP</v>
      </c>
      <c r="P372">
        <v>48.211468450759803</v>
      </c>
      <c r="Q372">
        <v>0.88971886964519997</v>
      </c>
      <c r="R372" t="str">
        <f t="shared" si="46"/>
        <v>UP</v>
      </c>
      <c r="S372">
        <v>1.17344999313354</v>
      </c>
      <c r="T372" t="str">
        <f t="shared" si="40"/>
        <v>UP</v>
      </c>
      <c r="U372">
        <v>1.1757999658584499</v>
      </c>
      <c r="V372" t="str">
        <f t="shared" si="47"/>
        <v>DOWN</v>
      </c>
      <c r="W372">
        <v>1.17509996891021</v>
      </c>
      <c r="X372" t="str">
        <f t="shared" si="41"/>
        <v>DOWN</v>
      </c>
      <c r="Y372">
        <v>1.1757999658584499</v>
      </c>
      <c r="Z372" t="str">
        <f t="shared" si="42"/>
        <v>DOWN</v>
      </c>
      <c r="AA372">
        <v>0</v>
      </c>
      <c r="AB372">
        <v>0</v>
      </c>
      <c r="AC372">
        <v>0</v>
      </c>
      <c r="AD372">
        <v>0</v>
      </c>
    </row>
    <row r="373" spans="1:30" hidden="1" x14ac:dyDescent="0.35">
      <c r="A373" s="2">
        <v>45898</v>
      </c>
      <c r="B373" t="s">
        <v>32</v>
      </c>
      <c r="C373">
        <v>1.17400002479553</v>
      </c>
      <c r="D373">
        <v>1.17400002479553</v>
      </c>
      <c r="E373">
        <v>1.17359995841979</v>
      </c>
      <c r="F373">
        <v>1.17365002632141</v>
      </c>
      <c r="G373">
        <v>35</v>
      </c>
      <c r="H373">
        <v>1.1744299888610801</v>
      </c>
      <c r="I373">
        <v>-1.99985504150346E-4</v>
      </c>
      <c r="J373" t="str">
        <f t="shared" si="43"/>
        <v>DOWN</v>
      </c>
      <c r="K373">
        <v>1.17188100099563</v>
      </c>
      <c r="L373" s="1">
        <v>4.3001174926837701E-5</v>
      </c>
      <c r="M373" t="str">
        <f t="shared" si="44"/>
        <v>UP</v>
      </c>
      <c r="N373">
        <v>2.5489878654480999E-3</v>
      </c>
      <c r="O373" t="str">
        <f t="shared" si="45"/>
        <v>UP</v>
      </c>
      <c r="P373">
        <v>50.608110074288597</v>
      </c>
      <c r="Q373">
        <v>2.3966416235287702</v>
      </c>
      <c r="R373" t="str">
        <f t="shared" si="46"/>
        <v>UP</v>
      </c>
      <c r="S373">
        <v>1.17359995841979</v>
      </c>
      <c r="T373" t="str">
        <f t="shared" si="40"/>
        <v>UP</v>
      </c>
      <c r="U373">
        <v>1.17344999313354</v>
      </c>
      <c r="V373" t="str">
        <f t="shared" si="47"/>
        <v>UP</v>
      </c>
      <c r="W373">
        <v>1.17410004138946</v>
      </c>
      <c r="X373" t="str">
        <f t="shared" si="41"/>
        <v>DOWN</v>
      </c>
      <c r="Y373">
        <v>1.17509996891021</v>
      </c>
      <c r="Z373" t="str">
        <f t="shared" si="42"/>
        <v>DOWN</v>
      </c>
      <c r="AA373">
        <v>0</v>
      </c>
      <c r="AB373">
        <v>0</v>
      </c>
      <c r="AC373">
        <v>0</v>
      </c>
      <c r="AD373">
        <v>0</v>
      </c>
    </row>
    <row r="374" spans="1:30" hidden="1" x14ac:dyDescent="0.35">
      <c r="A374" s="2">
        <v>45898</v>
      </c>
      <c r="B374" t="s">
        <v>33</v>
      </c>
      <c r="C374">
        <v>1.17404997348785</v>
      </c>
      <c r="D374">
        <v>1.17404997348785</v>
      </c>
      <c r="E374">
        <v>1.17344999313354</v>
      </c>
      <c r="F374">
        <v>1.17379999160766</v>
      </c>
      <c r="G374">
        <v>46</v>
      </c>
      <c r="H374">
        <v>1.17417998313903</v>
      </c>
      <c r="I374">
        <v>-2.5000572204603101E-4</v>
      </c>
      <c r="J374" t="str">
        <f t="shared" si="43"/>
        <v>DOWN</v>
      </c>
      <c r="K374">
        <v>1.1719320011138901</v>
      </c>
      <c r="L374" s="1">
        <v>5.1000118255650701E-5</v>
      </c>
      <c r="M374" t="str">
        <f t="shared" si="44"/>
        <v>UP</v>
      </c>
      <c r="N374">
        <v>2.24798202514642E-3</v>
      </c>
      <c r="O374" t="str">
        <f t="shared" si="45"/>
        <v>UP</v>
      </c>
      <c r="P374">
        <v>50.913537470813999</v>
      </c>
      <c r="Q374">
        <v>0.30542739652544498</v>
      </c>
      <c r="R374" t="str">
        <f t="shared" si="46"/>
        <v>UP</v>
      </c>
      <c r="S374">
        <v>1.17359995841979</v>
      </c>
      <c r="T374" t="str">
        <f t="shared" si="40"/>
        <v>DOWN</v>
      </c>
      <c r="U374">
        <v>1.17359995841979</v>
      </c>
      <c r="V374" t="str">
        <f t="shared" si="47"/>
        <v>DOWN</v>
      </c>
      <c r="W374">
        <v>1.17400002479553</v>
      </c>
      <c r="X374" t="str">
        <f t="shared" si="41"/>
        <v>UP</v>
      </c>
      <c r="Y374">
        <v>1.17410004138946</v>
      </c>
      <c r="Z374" t="str">
        <f t="shared" si="42"/>
        <v>DOWN</v>
      </c>
      <c r="AA374">
        <v>0</v>
      </c>
      <c r="AB374">
        <v>0</v>
      </c>
      <c r="AC374">
        <v>0</v>
      </c>
      <c r="AD374">
        <v>0</v>
      </c>
    </row>
    <row r="375" spans="1:30" hidden="1" x14ac:dyDescent="0.35">
      <c r="A375" s="2">
        <v>45898</v>
      </c>
      <c r="B375" t="s">
        <v>41</v>
      </c>
      <c r="C375">
        <v>1.17425000667572</v>
      </c>
      <c r="D375">
        <v>1.17425000667572</v>
      </c>
      <c r="E375">
        <v>1.17369997501373</v>
      </c>
      <c r="F375">
        <v>1.17369997501373</v>
      </c>
      <c r="G375">
        <v>6</v>
      </c>
      <c r="H375">
        <v>1.1738699913024899</v>
      </c>
      <c r="I375">
        <v>-3.09991836547895E-4</v>
      </c>
      <c r="J375" t="str">
        <f t="shared" si="43"/>
        <v>DOWN</v>
      </c>
      <c r="K375">
        <v>1.1719870018959</v>
      </c>
      <c r="L375" s="1">
        <v>5.5000782012815101E-5</v>
      </c>
      <c r="M375" t="str">
        <f t="shared" si="44"/>
        <v>UP</v>
      </c>
      <c r="N375">
        <v>1.88298940658571E-3</v>
      </c>
      <c r="O375" t="str">
        <f t="shared" si="45"/>
        <v>UP</v>
      </c>
      <c r="P375">
        <v>52.188642725689803</v>
      </c>
      <c r="Q375">
        <v>1.27510525487574</v>
      </c>
      <c r="R375" t="str">
        <f t="shared" si="46"/>
        <v>UP</v>
      </c>
      <c r="S375">
        <v>1.17344999313354</v>
      </c>
      <c r="T375" t="str">
        <f t="shared" si="40"/>
        <v>UP</v>
      </c>
      <c r="U375">
        <v>1.17359995841979</v>
      </c>
      <c r="V375" t="str">
        <f t="shared" si="47"/>
        <v>UP</v>
      </c>
      <c r="W375">
        <v>1.17404997348785</v>
      </c>
      <c r="X375" t="str">
        <f t="shared" si="41"/>
        <v>UP</v>
      </c>
      <c r="Y375">
        <v>1.17400002479553</v>
      </c>
      <c r="Z375" t="str">
        <f t="shared" si="42"/>
        <v>UP</v>
      </c>
      <c r="AA375">
        <v>0</v>
      </c>
      <c r="AB375">
        <v>0</v>
      </c>
      <c r="AC375">
        <v>0</v>
      </c>
      <c r="AD375">
        <v>0</v>
      </c>
    </row>
    <row r="376" spans="1:30" hidden="1" x14ac:dyDescent="0.35">
      <c r="A376" s="2">
        <v>45898</v>
      </c>
      <c r="B376" t="s">
        <v>34</v>
      </c>
      <c r="C376">
        <v>1.1744999885559</v>
      </c>
      <c r="D376">
        <v>1.17455005645751</v>
      </c>
      <c r="E376">
        <v>1.17385005950927</v>
      </c>
      <c r="F376">
        <v>1.17420005798339</v>
      </c>
      <c r="G376">
        <v>58</v>
      </c>
      <c r="H376">
        <v>1.1740799903869601</v>
      </c>
      <c r="I376">
        <v>2.0999908447283299E-4</v>
      </c>
      <c r="J376" t="str">
        <f t="shared" si="43"/>
        <v>UP</v>
      </c>
      <c r="K376">
        <v>1.1720570015907199</v>
      </c>
      <c r="L376" s="1">
        <v>6.9999694824351895E-5</v>
      </c>
      <c r="M376" t="str">
        <f t="shared" si="44"/>
        <v>UP</v>
      </c>
      <c r="N376">
        <v>2.02298879623419E-3</v>
      </c>
      <c r="O376" t="str">
        <f t="shared" si="45"/>
        <v>UP</v>
      </c>
      <c r="P376">
        <v>53.803681036606797</v>
      </c>
      <c r="Q376">
        <v>1.6150383109170401</v>
      </c>
      <c r="R376" t="str">
        <f t="shared" si="46"/>
        <v>UP</v>
      </c>
      <c r="S376">
        <v>1.17369997501373</v>
      </c>
      <c r="T376" t="str">
        <f t="shared" si="40"/>
        <v>UP</v>
      </c>
      <c r="U376">
        <v>1.17344999313354</v>
      </c>
      <c r="V376" t="str">
        <f t="shared" si="47"/>
        <v>UP</v>
      </c>
      <c r="W376">
        <v>1.17425000667572</v>
      </c>
      <c r="X376" t="str">
        <f t="shared" si="41"/>
        <v>UP</v>
      </c>
      <c r="Y376">
        <v>1.17404997348785</v>
      </c>
      <c r="Z376" t="str">
        <f t="shared" si="42"/>
        <v>UP</v>
      </c>
      <c r="AA376">
        <v>0</v>
      </c>
      <c r="AB376">
        <v>0</v>
      </c>
      <c r="AC376">
        <v>0</v>
      </c>
      <c r="AD376">
        <v>0</v>
      </c>
    </row>
    <row r="377" spans="1:30" hidden="1" x14ac:dyDescent="0.35">
      <c r="A377" s="2">
        <v>45898</v>
      </c>
      <c r="B377" t="s">
        <v>35</v>
      </c>
      <c r="C377">
        <v>1.1753000020980799</v>
      </c>
      <c r="D377">
        <v>1.1753000020980799</v>
      </c>
      <c r="E377">
        <v>1.17390000820159</v>
      </c>
      <c r="F377">
        <v>1.1748000383377</v>
      </c>
      <c r="G377">
        <v>45</v>
      </c>
      <c r="H377">
        <v>1.1744199991226101</v>
      </c>
      <c r="I377">
        <v>3.4000873565664898E-4</v>
      </c>
      <c r="J377" t="str">
        <f t="shared" si="43"/>
        <v>UP</v>
      </c>
      <c r="K377">
        <v>1.1721470022201499</v>
      </c>
      <c r="L377" s="1">
        <v>9.0000629425102105E-5</v>
      </c>
      <c r="M377" t="str">
        <f t="shared" si="44"/>
        <v>UP</v>
      </c>
      <c r="N377">
        <v>2.2729969024657399E-3</v>
      </c>
      <c r="O377" t="str">
        <f t="shared" si="45"/>
        <v>UP</v>
      </c>
      <c r="P377">
        <v>58.620998371925502</v>
      </c>
      <c r="Q377">
        <v>4.8173173353186503</v>
      </c>
      <c r="R377" t="str">
        <f t="shared" si="46"/>
        <v>UP</v>
      </c>
      <c r="S377">
        <v>1.17385005950927</v>
      </c>
      <c r="T377" t="str">
        <f t="shared" si="40"/>
        <v>UP</v>
      </c>
      <c r="U377">
        <v>1.17369997501373</v>
      </c>
      <c r="V377" t="str">
        <f t="shared" si="47"/>
        <v>UP</v>
      </c>
      <c r="W377">
        <v>1.17455005645751</v>
      </c>
      <c r="X377" t="str">
        <f t="shared" si="41"/>
        <v>UP</v>
      </c>
      <c r="Y377">
        <v>1.17425000667572</v>
      </c>
      <c r="Z377" t="str">
        <f t="shared" si="42"/>
        <v>UP</v>
      </c>
      <c r="AA377">
        <v>0</v>
      </c>
      <c r="AB377">
        <v>0</v>
      </c>
      <c r="AC377">
        <v>0</v>
      </c>
      <c r="AD377">
        <v>0</v>
      </c>
    </row>
    <row r="378" spans="1:30" hidden="1" x14ac:dyDescent="0.35">
      <c r="A378" s="2">
        <v>45898</v>
      </c>
      <c r="B378" t="s">
        <v>36</v>
      </c>
      <c r="C378">
        <v>1.17495000362396</v>
      </c>
      <c r="D378">
        <v>1.1762499809265099</v>
      </c>
      <c r="E378">
        <v>1.17474997043609</v>
      </c>
      <c r="F378">
        <v>1.17484998703002</v>
      </c>
      <c r="G378">
        <v>582</v>
      </c>
      <c r="H378">
        <v>1.1746099948883</v>
      </c>
      <c r="I378">
        <v>1.89995765686123E-4</v>
      </c>
      <c r="J378" t="str">
        <f t="shared" si="43"/>
        <v>UP</v>
      </c>
      <c r="K378">
        <v>1.1722620034217801</v>
      </c>
      <c r="L378">
        <v>1.15001201629549E-4</v>
      </c>
      <c r="M378" t="str">
        <f t="shared" si="44"/>
        <v>UP</v>
      </c>
      <c r="N378">
        <v>2.3479914665223102E-3</v>
      </c>
      <c r="O378" t="str">
        <f t="shared" si="45"/>
        <v>UP</v>
      </c>
      <c r="P378">
        <v>55.875791553121097</v>
      </c>
      <c r="Q378">
        <v>-2.7452068188043701</v>
      </c>
      <c r="R378" t="str">
        <f t="shared" si="46"/>
        <v>DOWN</v>
      </c>
      <c r="S378">
        <v>1.17390000820159</v>
      </c>
      <c r="T378" t="str">
        <f t="shared" si="40"/>
        <v>UP</v>
      </c>
      <c r="U378">
        <v>1.17385005950927</v>
      </c>
      <c r="V378" t="str">
        <f t="shared" si="47"/>
        <v>UP</v>
      </c>
      <c r="W378">
        <v>1.1753000020980799</v>
      </c>
      <c r="X378" t="str">
        <f t="shared" si="41"/>
        <v>UP</v>
      </c>
      <c r="Y378">
        <v>1.17455005645751</v>
      </c>
      <c r="Z378" t="str">
        <f t="shared" si="42"/>
        <v>UP</v>
      </c>
      <c r="AA378">
        <v>0</v>
      </c>
      <c r="AB378">
        <v>0</v>
      </c>
      <c r="AC378">
        <v>0</v>
      </c>
      <c r="AD378">
        <v>0</v>
      </c>
    </row>
    <row r="379" spans="1:30" hidden="1" x14ac:dyDescent="0.35">
      <c r="A379" s="2">
        <v>45898</v>
      </c>
      <c r="B379" t="s">
        <v>37</v>
      </c>
      <c r="C379">
        <v>1.17505002021789</v>
      </c>
      <c r="D379">
        <v>1.1756000518798799</v>
      </c>
      <c r="E379">
        <v>1.1744999885559</v>
      </c>
      <c r="F379">
        <v>1.17515003681182</v>
      </c>
      <c r="G379">
        <v>362</v>
      </c>
      <c r="H379">
        <v>1.1748100042343099</v>
      </c>
      <c r="I379">
        <v>2.0000934600816701E-4</v>
      </c>
      <c r="J379" t="str">
        <f t="shared" si="43"/>
        <v>UP</v>
      </c>
      <c r="K379">
        <v>1.1723680043220499</v>
      </c>
      <c r="L379">
        <v>1.06000900268465E-4</v>
      </c>
      <c r="M379" t="str">
        <f t="shared" si="44"/>
        <v>UP</v>
      </c>
      <c r="N379">
        <v>2.4419999122620101E-3</v>
      </c>
      <c r="O379" t="str">
        <f t="shared" si="45"/>
        <v>UP</v>
      </c>
      <c r="P379">
        <v>56.502658207417298</v>
      </c>
      <c r="Q379">
        <v>0.62686665429619304</v>
      </c>
      <c r="R379" t="str">
        <f t="shared" si="46"/>
        <v>UP</v>
      </c>
      <c r="S379">
        <v>1.17474997043609</v>
      </c>
      <c r="T379" t="str">
        <f t="shared" si="40"/>
        <v>DOWN</v>
      </c>
      <c r="U379">
        <v>1.17390000820159</v>
      </c>
      <c r="V379" t="str">
        <f t="shared" si="47"/>
        <v>UP</v>
      </c>
      <c r="W379">
        <v>1.1762499809265099</v>
      </c>
      <c r="X379" t="str">
        <f t="shared" si="41"/>
        <v>DOWN</v>
      </c>
      <c r="Y379">
        <v>1.1753000020980799</v>
      </c>
      <c r="Z379" t="str">
        <f t="shared" si="42"/>
        <v>UP</v>
      </c>
      <c r="AA379">
        <v>0</v>
      </c>
      <c r="AB379">
        <v>0</v>
      </c>
      <c r="AC379">
        <v>0</v>
      </c>
      <c r="AD379">
        <v>0</v>
      </c>
    </row>
    <row r="380" spans="1:30" hidden="1" x14ac:dyDescent="0.35">
      <c r="A380" s="2">
        <v>45898</v>
      </c>
      <c r="B380" t="s">
        <v>20</v>
      </c>
      <c r="C380">
        <v>1.1744999885559</v>
      </c>
      <c r="D380">
        <v>1.17455005645751</v>
      </c>
      <c r="E380">
        <v>1.17445003986358</v>
      </c>
      <c r="F380">
        <v>1.17445003986358</v>
      </c>
      <c r="G380">
        <v>249</v>
      </c>
      <c r="H380">
        <v>1.17486000061035</v>
      </c>
      <c r="I380" s="1">
        <v>4.9996376037641997E-5</v>
      </c>
      <c r="J380" t="str">
        <f t="shared" si="43"/>
        <v>UP</v>
      </c>
      <c r="K380">
        <v>1.1724640035629199</v>
      </c>
      <c r="L380" s="1">
        <v>9.5999240875332904E-5</v>
      </c>
      <c r="M380" t="str">
        <f t="shared" si="44"/>
        <v>UP</v>
      </c>
      <c r="N380">
        <v>2.3959970474243201E-3</v>
      </c>
      <c r="O380" t="str">
        <f t="shared" si="45"/>
        <v>UP</v>
      </c>
      <c r="P380">
        <v>52.117529223219897</v>
      </c>
      <c r="Q380">
        <v>-4.38512898419736</v>
      </c>
      <c r="R380" t="str">
        <f t="shared" si="46"/>
        <v>DOWN</v>
      </c>
      <c r="S380">
        <v>1.1744999885559</v>
      </c>
      <c r="T380" t="str">
        <f t="shared" si="40"/>
        <v>DOWN</v>
      </c>
      <c r="U380">
        <v>1.17474997043609</v>
      </c>
      <c r="V380" t="str">
        <f t="shared" si="47"/>
        <v>DOWN</v>
      </c>
      <c r="W380">
        <v>1.1756000518798799</v>
      </c>
      <c r="X380" t="str">
        <f t="shared" si="41"/>
        <v>DOWN</v>
      </c>
      <c r="Y380">
        <v>1.1762499809265099</v>
      </c>
      <c r="Z380" t="str">
        <f t="shared" si="42"/>
        <v>DOWN</v>
      </c>
      <c r="AA380">
        <v>0</v>
      </c>
      <c r="AB380">
        <v>0</v>
      </c>
      <c r="AC380">
        <v>0</v>
      </c>
      <c r="AD380">
        <v>0</v>
      </c>
    </row>
    <row r="381" spans="1:30" hidden="1" x14ac:dyDescent="0.35">
      <c r="A381" s="2">
        <v>45898</v>
      </c>
      <c r="B381" t="s">
        <v>21</v>
      </c>
      <c r="C381">
        <v>1.17400002479553</v>
      </c>
      <c r="D381">
        <v>1.17439997196197</v>
      </c>
      <c r="E381">
        <v>1.17369997501373</v>
      </c>
      <c r="F381">
        <v>1.17439997196197</v>
      </c>
      <c r="G381">
        <v>115</v>
      </c>
      <c r="H381">
        <v>1.1747600078582701</v>
      </c>
      <c r="I381" s="1">
        <v>-9.9992752075284103E-5</v>
      </c>
      <c r="J381" t="str">
        <f t="shared" si="43"/>
        <v>DOWN</v>
      </c>
      <c r="K381">
        <v>1.1725790047645499</v>
      </c>
      <c r="L381">
        <v>1.15001201629549E-4</v>
      </c>
      <c r="M381" t="str">
        <f t="shared" si="44"/>
        <v>UP</v>
      </c>
      <c r="N381">
        <v>2.18100309371949E-3</v>
      </c>
      <c r="O381" t="str">
        <f t="shared" si="45"/>
        <v>UP</v>
      </c>
      <c r="P381">
        <v>48.437661723256703</v>
      </c>
      <c r="Q381">
        <v>-3.6798674999632</v>
      </c>
      <c r="R381" t="str">
        <f t="shared" si="46"/>
        <v>DOWN</v>
      </c>
      <c r="S381">
        <v>1.17445003986358</v>
      </c>
      <c r="T381" t="str">
        <f t="shared" si="40"/>
        <v>DOWN</v>
      </c>
      <c r="U381">
        <v>1.1744999885559</v>
      </c>
      <c r="V381" t="str">
        <f t="shared" si="47"/>
        <v>DOWN</v>
      </c>
      <c r="W381">
        <v>1.17455005645751</v>
      </c>
      <c r="X381" t="str">
        <f t="shared" si="41"/>
        <v>DOWN</v>
      </c>
      <c r="Y381">
        <v>1.1756000518798799</v>
      </c>
      <c r="Z381" t="str">
        <f t="shared" si="42"/>
        <v>DOWN</v>
      </c>
      <c r="AA381">
        <v>0</v>
      </c>
      <c r="AB381">
        <v>0</v>
      </c>
      <c r="AC381">
        <v>0</v>
      </c>
      <c r="AD381">
        <v>0</v>
      </c>
    </row>
    <row r="382" spans="1:30" hidden="1" x14ac:dyDescent="0.35">
      <c r="A382" s="2">
        <v>45898</v>
      </c>
      <c r="B382" t="s">
        <v>22</v>
      </c>
      <c r="C382">
        <v>1.17334997653961</v>
      </c>
      <c r="D382">
        <v>1.17400002479553</v>
      </c>
      <c r="E382">
        <v>1.1727999448776201</v>
      </c>
      <c r="F382">
        <v>1.17359995841979</v>
      </c>
      <c r="G382">
        <v>8747</v>
      </c>
      <c r="H382">
        <v>1.17437000274658</v>
      </c>
      <c r="I382">
        <v>-3.9000511169429099E-4</v>
      </c>
      <c r="J382" t="str">
        <f t="shared" si="43"/>
        <v>DOWN</v>
      </c>
      <c r="K382">
        <v>1.1727140045166</v>
      </c>
      <c r="L382">
        <v>1.3499975204478399E-4</v>
      </c>
      <c r="M382" t="str">
        <f t="shared" si="44"/>
        <v>UP</v>
      </c>
      <c r="N382">
        <v>1.65599822998041E-3</v>
      </c>
      <c r="O382" t="str">
        <f t="shared" si="45"/>
        <v>UP</v>
      </c>
      <c r="P382">
        <v>44.079742586386701</v>
      </c>
      <c r="Q382">
        <v>-4.3579191368699597</v>
      </c>
      <c r="R382" t="str">
        <f t="shared" si="46"/>
        <v>DOWN</v>
      </c>
      <c r="S382">
        <v>1.17369997501373</v>
      </c>
      <c r="T382" t="str">
        <f t="shared" si="40"/>
        <v>DOWN</v>
      </c>
      <c r="U382">
        <v>1.17445003986358</v>
      </c>
      <c r="V382" t="str">
        <f t="shared" si="47"/>
        <v>DOWN</v>
      </c>
      <c r="W382">
        <v>1.17439997196197</v>
      </c>
      <c r="X382" t="str">
        <f t="shared" si="41"/>
        <v>DOWN</v>
      </c>
      <c r="Y382">
        <v>1.17455005645751</v>
      </c>
      <c r="Z382" t="str">
        <f t="shared" si="42"/>
        <v>DOWN</v>
      </c>
      <c r="AA382">
        <v>0</v>
      </c>
      <c r="AB382">
        <v>1</v>
      </c>
      <c r="AC382">
        <v>0</v>
      </c>
      <c r="AD382">
        <v>0</v>
      </c>
    </row>
    <row r="383" spans="1:30" hidden="1" x14ac:dyDescent="0.35">
      <c r="A383" s="2">
        <v>45898</v>
      </c>
      <c r="B383" t="s">
        <v>23</v>
      </c>
      <c r="C383">
        <v>1.17439997196197</v>
      </c>
      <c r="D383">
        <v>1.1748000383377</v>
      </c>
      <c r="E383">
        <v>1.1729999780654901</v>
      </c>
      <c r="F383">
        <v>1.17359995841979</v>
      </c>
      <c r="G383">
        <v>4032</v>
      </c>
      <c r="H383">
        <v>1.17425999641418</v>
      </c>
      <c r="I383">
        <v>-1.1000633239732701E-4</v>
      </c>
      <c r="J383" t="str">
        <f t="shared" si="43"/>
        <v>DOWN</v>
      </c>
      <c r="K383">
        <v>1.17286200284957</v>
      </c>
      <c r="L383">
        <v>1.47998332977294E-4</v>
      </c>
      <c r="M383" t="str">
        <f t="shared" si="44"/>
        <v>UP</v>
      </c>
      <c r="N383">
        <v>1.39799356460579E-3</v>
      </c>
      <c r="O383" t="str">
        <f t="shared" si="45"/>
        <v>UP</v>
      </c>
      <c r="P383">
        <v>51.647111585539001</v>
      </c>
      <c r="Q383">
        <v>7.5673689991522401</v>
      </c>
      <c r="R383" t="str">
        <f t="shared" si="46"/>
        <v>UP</v>
      </c>
      <c r="S383">
        <v>1.1727999448776201</v>
      </c>
      <c r="T383" t="str">
        <f t="shared" si="40"/>
        <v>UP</v>
      </c>
      <c r="U383">
        <v>1.17369997501373</v>
      </c>
      <c r="V383" t="str">
        <f t="shared" si="47"/>
        <v>DOWN</v>
      </c>
      <c r="W383">
        <v>1.17400002479553</v>
      </c>
      <c r="X383" t="str">
        <f t="shared" si="41"/>
        <v>UP</v>
      </c>
      <c r="Y383">
        <v>1.17439997196197</v>
      </c>
      <c r="Z383" t="str">
        <f t="shared" si="42"/>
        <v>UP</v>
      </c>
      <c r="AA383">
        <v>0</v>
      </c>
      <c r="AB383">
        <v>0</v>
      </c>
      <c r="AC383">
        <v>0</v>
      </c>
      <c r="AD383">
        <v>0</v>
      </c>
    </row>
    <row r="384" spans="1:30" hidden="1" x14ac:dyDescent="0.35">
      <c r="A384" s="2">
        <v>45898</v>
      </c>
      <c r="B384" t="s">
        <v>24</v>
      </c>
      <c r="C384">
        <v>1.17805004119873</v>
      </c>
      <c r="D384">
        <v>1.17805004119873</v>
      </c>
      <c r="E384">
        <v>1.17460000514984</v>
      </c>
      <c r="F384">
        <v>1.17460000514984</v>
      </c>
      <c r="G384">
        <v>1031</v>
      </c>
      <c r="H384">
        <v>1.17486000061035</v>
      </c>
      <c r="I384">
        <v>6.0000419616690304E-4</v>
      </c>
      <c r="J384" t="str">
        <f t="shared" si="43"/>
        <v>UP</v>
      </c>
      <c r="K384">
        <v>1.1731030035018899</v>
      </c>
      <c r="L384">
        <v>2.4100065231325E-4</v>
      </c>
      <c r="M384" t="str">
        <f t="shared" si="44"/>
        <v>UP</v>
      </c>
      <c r="N384">
        <v>1.7569971084594399E-3</v>
      </c>
      <c r="O384" t="str">
        <f t="shared" si="45"/>
        <v>UP</v>
      </c>
      <c r="P384">
        <v>67.906177113171495</v>
      </c>
      <c r="Q384">
        <v>16.259065527632501</v>
      </c>
      <c r="R384" t="str">
        <f t="shared" si="46"/>
        <v>UP</v>
      </c>
      <c r="S384">
        <v>1.1729999780654901</v>
      </c>
      <c r="T384" t="str">
        <f t="shared" si="40"/>
        <v>UP</v>
      </c>
      <c r="U384">
        <v>1.1727999448776201</v>
      </c>
      <c r="V384" t="str">
        <f t="shared" si="47"/>
        <v>UP</v>
      </c>
      <c r="W384">
        <v>1.1748000383377</v>
      </c>
      <c r="X384" t="str">
        <f t="shared" si="41"/>
        <v>UP</v>
      </c>
      <c r="Y384">
        <v>1.17400002479553</v>
      </c>
      <c r="Z384" t="str">
        <f t="shared" si="42"/>
        <v>UP</v>
      </c>
      <c r="AA384">
        <v>0</v>
      </c>
      <c r="AB384">
        <v>0</v>
      </c>
      <c r="AC384">
        <v>0</v>
      </c>
      <c r="AD384">
        <v>0</v>
      </c>
    </row>
    <row r="385" spans="1:30" hidden="1" x14ac:dyDescent="0.35">
      <c r="A385" s="2">
        <v>45898</v>
      </c>
      <c r="B385" t="s">
        <v>25</v>
      </c>
      <c r="C385">
        <v>1.1770999431610101</v>
      </c>
      <c r="D385">
        <v>1.17840003967285</v>
      </c>
      <c r="E385">
        <v>1.1770999431610101</v>
      </c>
      <c r="F385">
        <v>1.17805004119873</v>
      </c>
      <c r="G385">
        <v>5585</v>
      </c>
      <c r="H385">
        <v>1.1753799915313701</v>
      </c>
      <c r="I385">
        <v>5.1999092102050705E-4</v>
      </c>
      <c r="J385" t="str">
        <f t="shared" si="43"/>
        <v>UP</v>
      </c>
      <c r="K385">
        <v>1.1733160018920801</v>
      </c>
      <c r="L385">
        <v>2.1299839019772699E-4</v>
      </c>
      <c r="M385" t="str">
        <f t="shared" si="44"/>
        <v>UP</v>
      </c>
      <c r="N385">
        <v>2.0639896392822201E-3</v>
      </c>
      <c r="O385" t="str">
        <f t="shared" si="45"/>
        <v>UP</v>
      </c>
      <c r="P385">
        <v>62.056739482183502</v>
      </c>
      <c r="Q385">
        <v>-5.84943763098806</v>
      </c>
      <c r="R385" t="str">
        <f t="shared" si="46"/>
        <v>DOWN</v>
      </c>
      <c r="S385">
        <v>1.17460000514984</v>
      </c>
      <c r="T385" t="str">
        <f t="shared" si="40"/>
        <v>UP</v>
      </c>
      <c r="U385">
        <v>1.1729999780654901</v>
      </c>
      <c r="V385" t="str">
        <f t="shared" si="47"/>
        <v>UP</v>
      </c>
      <c r="W385">
        <v>1.17805004119873</v>
      </c>
      <c r="X385" t="str">
        <f t="shared" si="41"/>
        <v>UP</v>
      </c>
      <c r="Y385">
        <v>1.1748000383377</v>
      </c>
      <c r="Z385" t="str">
        <f t="shared" si="42"/>
        <v>UP</v>
      </c>
      <c r="AA385">
        <v>1</v>
      </c>
      <c r="AB385">
        <v>0</v>
      </c>
      <c r="AC385">
        <v>0</v>
      </c>
      <c r="AD385">
        <v>0</v>
      </c>
    </row>
    <row r="386" spans="1:30" hidden="1" x14ac:dyDescent="0.35">
      <c r="A386" s="2">
        <v>45898</v>
      </c>
      <c r="B386" t="s">
        <v>26</v>
      </c>
      <c r="C386">
        <v>1.17774999141693</v>
      </c>
      <c r="D386">
        <v>1.1782499551773</v>
      </c>
      <c r="E386">
        <v>1.1771500110626201</v>
      </c>
      <c r="F386">
        <v>1.1771500110626201</v>
      </c>
      <c r="G386">
        <v>430</v>
      </c>
      <c r="H386">
        <v>1.1761299848556499</v>
      </c>
      <c r="I386">
        <v>7.4999332427982902E-4</v>
      </c>
      <c r="J386" t="str">
        <f t="shared" si="43"/>
        <v>UP</v>
      </c>
      <c r="K386">
        <v>1.1735420012474</v>
      </c>
      <c r="L386">
        <v>2.2599935531619701E-4</v>
      </c>
      <c r="M386" t="str">
        <f t="shared" si="44"/>
        <v>UP</v>
      </c>
      <c r="N386">
        <v>2.5879836082458498E-3</v>
      </c>
      <c r="O386" t="str">
        <f t="shared" si="45"/>
        <v>UP</v>
      </c>
      <c r="P386">
        <v>64.321259712379998</v>
      </c>
      <c r="Q386">
        <v>2.2645202301965099</v>
      </c>
      <c r="R386" t="str">
        <f t="shared" si="46"/>
        <v>UP</v>
      </c>
      <c r="S386">
        <v>1.1770999431610101</v>
      </c>
      <c r="T386" t="str">
        <f t="shared" ref="T386:T449" si="48">IF((E386-S386)&lt;0,"DOWN","UP")</f>
        <v>UP</v>
      </c>
      <c r="U386">
        <v>1.17460000514984</v>
      </c>
      <c r="V386" t="str">
        <f t="shared" si="47"/>
        <v>UP</v>
      </c>
      <c r="W386">
        <v>1.17840003967285</v>
      </c>
      <c r="X386" t="str">
        <f t="shared" ref="X386:X449" si="49">IF((D386-W386)&gt;0,"UP","DOWN")</f>
        <v>DOWN</v>
      </c>
      <c r="Y386">
        <v>1.17805004119873</v>
      </c>
      <c r="Z386" t="str">
        <f t="shared" ref="Z386:Z449" si="50">IF((D386-Y386)&gt;0,"UP","DOWN")</f>
        <v>UP</v>
      </c>
      <c r="AA386">
        <v>0</v>
      </c>
      <c r="AB386">
        <v>0</v>
      </c>
      <c r="AC386">
        <v>0</v>
      </c>
      <c r="AD386">
        <v>0</v>
      </c>
    </row>
    <row r="387" spans="1:30" hidden="1" x14ac:dyDescent="0.35">
      <c r="A387" s="2">
        <v>45898</v>
      </c>
      <c r="B387" t="s">
        <v>27</v>
      </c>
      <c r="C387">
        <v>1.1771999597549401</v>
      </c>
      <c r="D387">
        <v>1.17774999141693</v>
      </c>
      <c r="E387">
        <v>1.1771999597549401</v>
      </c>
      <c r="F387">
        <v>1.17774999141693</v>
      </c>
      <c r="G387">
        <v>49</v>
      </c>
      <c r="H387">
        <v>1.17689998149871</v>
      </c>
      <c r="I387">
        <v>7.69996643066317E-4</v>
      </c>
      <c r="J387" t="str">
        <f t="shared" ref="J387:J450" si="51">IF(I387&gt;0,"UP","DOWN")</f>
        <v>UP</v>
      </c>
      <c r="K387">
        <v>1.17373100042343</v>
      </c>
      <c r="L387">
        <v>1.8899917602532799E-4</v>
      </c>
      <c r="M387" t="str">
        <f t="shared" ref="M387:M450" si="52">IF(L387&gt;0,"UP","DOWN")</f>
        <v>UP</v>
      </c>
      <c r="N387">
        <v>3.1689810752868401E-3</v>
      </c>
      <c r="O387" t="str">
        <f t="shared" ref="O387:O450" si="53">IF(N387&gt;0,"UP","DOWN")</f>
        <v>UP</v>
      </c>
      <c r="P387">
        <v>61.0036582597658</v>
      </c>
      <c r="Q387">
        <v>-3.31760145261413</v>
      </c>
      <c r="R387" t="str">
        <f t="shared" ref="R387:R450" si="54">IF(Q387&gt;0,"UP","DOWN")</f>
        <v>DOWN</v>
      </c>
      <c r="S387">
        <v>1.1771500110626201</v>
      </c>
      <c r="T387" t="str">
        <f t="shared" si="48"/>
        <v>UP</v>
      </c>
      <c r="U387">
        <v>1.1770999431610101</v>
      </c>
      <c r="V387" t="str">
        <f t="shared" ref="V387:V450" si="55">IF((E387-U387)&lt;0,"DOWN","UP")</f>
        <v>UP</v>
      </c>
      <c r="W387">
        <v>1.1782499551773</v>
      </c>
      <c r="X387" t="str">
        <f t="shared" si="49"/>
        <v>DOWN</v>
      </c>
      <c r="Y387">
        <v>1.17840003967285</v>
      </c>
      <c r="Z387" t="str">
        <f t="shared" si="50"/>
        <v>DOWN</v>
      </c>
      <c r="AA387">
        <v>0</v>
      </c>
      <c r="AB387">
        <v>0</v>
      </c>
      <c r="AC387">
        <v>0</v>
      </c>
      <c r="AD387">
        <v>0</v>
      </c>
    </row>
    <row r="388" spans="1:30" hidden="1" x14ac:dyDescent="0.35">
      <c r="A388" s="2">
        <v>45898</v>
      </c>
      <c r="B388" t="s">
        <v>38</v>
      </c>
      <c r="C388">
        <v>1.1773999929428101</v>
      </c>
      <c r="D388">
        <v>1.1773999929428101</v>
      </c>
      <c r="E388">
        <v>1.1768499612808201</v>
      </c>
      <c r="F388">
        <v>1.1772500276565501</v>
      </c>
      <c r="G388">
        <v>786</v>
      </c>
      <c r="H388">
        <v>1.17749998569488</v>
      </c>
      <c r="I388">
        <v>6.0000419616712498E-4</v>
      </c>
      <c r="J388" t="str">
        <f t="shared" si="51"/>
        <v>UP</v>
      </c>
      <c r="K388">
        <v>1.17393800020217</v>
      </c>
      <c r="L388">
        <v>2.0699977874749599E-4</v>
      </c>
      <c r="M388" t="str">
        <f t="shared" si="52"/>
        <v>UP</v>
      </c>
      <c r="N388">
        <v>3.56198549270647E-3</v>
      </c>
      <c r="O388" t="str">
        <f t="shared" si="53"/>
        <v>UP</v>
      </c>
      <c r="P388">
        <v>61.775817593884</v>
      </c>
      <c r="Q388">
        <v>0.77215933411820004</v>
      </c>
      <c r="R388" t="str">
        <f t="shared" si="54"/>
        <v>UP</v>
      </c>
      <c r="S388">
        <v>1.1771999597549401</v>
      </c>
      <c r="T388" t="str">
        <f t="shared" si="48"/>
        <v>DOWN</v>
      </c>
      <c r="U388">
        <v>1.1771500110626201</v>
      </c>
      <c r="V388" t="str">
        <f t="shared" si="55"/>
        <v>DOWN</v>
      </c>
      <c r="W388">
        <v>1.17774999141693</v>
      </c>
      <c r="X388" t="str">
        <f t="shared" si="49"/>
        <v>DOWN</v>
      </c>
      <c r="Y388">
        <v>1.1782499551773</v>
      </c>
      <c r="Z388" t="str">
        <f t="shared" si="50"/>
        <v>DOWN</v>
      </c>
      <c r="AA388">
        <v>0</v>
      </c>
      <c r="AB388">
        <v>0</v>
      </c>
      <c r="AC388">
        <v>0</v>
      </c>
      <c r="AD388">
        <v>0</v>
      </c>
    </row>
    <row r="389" spans="1:30" hidden="1" x14ac:dyDescent="0.35">
      <c r="A389" s="2">
        <v>45898</v>
      </c>
      <c r="B389" t="s">
        <v>28</v>
      </c>
      <c r="C389">
        <v>1.1773500442504801</v>
      </c>
      <c r="D389">
        <v>1.1775000095367401</v>
      </c>
      <c r="E389">
        <v>1.1769499778747501</v>
      </c>
      <c r="F389">
        <v>1.1773500442504801</v>
      </c>
      <c r="G389">
        <v>60</v>
      </c>
      <c r="H389">
        <v>1.17735998630523</v>
      </c>
      <c r="I389">
        <v>-1.3999938964848099E-4</v>
      </c>
      <c r="J389" t="str">
        <f t="shared" si="51"/>
        <v>DOWN</v>
      </c>
      <c r="K389">
        <v>1.17410600185394</v>
      </c>
      <c r="L389">
        <v>1.6800165176400399E-4</v>
      </c>
      <c r="M389" t="str">
        <f t="shared" si="52"/>
        <v>UP</v>
      </c>
      <c r="N389">
        <v>3.2539844512939802E-3</v>
      </c>
      <c r="O389" t="str">
        <f t="shared" si="53"/>
        <v>UP</v>
      </c>
      <c r="P389">
        <v>61.448626114655802</v>
      </c>
      <c r="Q389">
        <v>-0.32719147922821801</v>
      </c>
      <c r="R389" t="str">
        <f t="shared" si="54"/>
        <v>DOWN</v>
      </c>
      <c r="S389">
        <v>1.1768499612808201</v>
      </c>
      <c r="T389" t="str">
        <f t="shared" si="48"/>
        <v>UP</v>
      </c>
      <c r="U389">
        <v>1.1771999597549401</v>
      </c>
      <c r="V389" t="str">
        <f t="shared" si="55"/>
        <v>DOWN</v>
      </c>
      <c r="W389">
        <v>1.1773999929428101</v>
      </c>
      <c r="X389" t="str">
        <f t="shared" si="49"/>
        <v>UP</v>
      </c>
      <c r="Y389">
        <v>1.17774999141693</v>
      </c>
      <c r="Z389" t="str">
        <f t="shared" si="50"/>
        <v>DOWN</v>
      </c>
      <c r="AA389">
        <v>0</v>
      </c>
      <c r="AB389">
        <v>0</v>
      </c>
      <c r="AC389">
        <v>0</v>
      </c>
      <c r="AD389">
        <v>0</v>
      </c>
    </row>
    <row r="390" spans="1:30" hidden="1" x14ac:dyDescent="0.35">
      <c r="A390" s="2">
        <v>45898</v>
      </c>
      <c r="B390" t="s">
        <v>39</v>
      </c>
      <c r="C390">
        <v>1.1761499643325799</v>
      </c>
      <c r="D390">
        <v>1.1775499582290601</v>
      </c>
      <c r="E390">
        <v>1.1757999658584499</v>
      </c>
      <c r="F390">
        <v>1.1775499582290601</v>
      </c>
      <c r="G390">
        <v>78</v>
      </c>
      <c r="H390">
        <v>1.1771699905395501</v>
      </c>
      <c r="I390">
        <v>-1.89995765686123E-4</v>
      </c>
      <c r="J390" t="str">
        <f t="shared" si="51"/>
        <v>DOWN</v>
      </c>
      <c r="K390">
        <v>1.1741950011253299</v>
      </c>
      <c r="L390" s="1">
        <v>8.8999271392831107E-5</v>
      </c>
      <c r="M390" t="str">
        <f t="shared" si="52"/>
        <v>UP</v>
      </c>
      <c r="N390">
        <v>2.9749894142150298E-3</v>
      </c>
      <c r="O390" t="str">
        <f t="shared" si="53"/>
        <v>UP</v>
      </c>
      <c r="P390">
        <v>54.042521891426297</v>
      </c>
      <c r="Q390">
        <v>-7.4061042232294998</v>
      </c>
      <c r="R390" t="str">
        <f t="shared" si="54"/>
        <v>DOWN</v>
      </c>
      <c r="S390">
        <v>1.1769499778747501</v>
      </c>
      <c r="T390" t="str">
        <f t="shared" si="48"/>
        <v>DOWN</v>
      </c>
      <c r="U390">
        <v>1.1768499612808201</v>
      </c>
      <c r="V390" t="str">
        <f t="shared" si="55"/>
        <v>DOWN</v>
      </c>
      <c r="W390">
        <v>1.1775000095367401</v>
      </c>
      <c r="X390" t="str">
        <f t="shared" si="49"/>
        <v>UP</v>
      </c>
      <c r="Y390">
        <v>1.1773999929428101</v>
      </c>
      <c r="Z390" t="str">
        <f t="shared" si="50"/>
        <v>UP</v>
      </c>
      <c r="AA390">
        <v>0</v>
      </c>
      <c r="AB390">
        <v>0</v>
      </c>
      <c r="AC390">
        <v>0</v>
      </c>
      <c r="AD390">
        <v>0</v>
      </c>
    </row>
    <row r="391" spans="1:30" hidden="1" x14ac:dyDescent="0.35">
      <c r="A391" s="2">
        <v>45902</v>
      </c>
      <c r="B391" t="s">
        <v>33</v>
      </c>
      <c r="C391">
        <v>1.1766999959945601</v>
      </c>
      <c r="D391">
        <v>1.1796499490737899</v>
      </c>
      <c r="E391">
        <v>1.1763999462127599</v>
      </c>
      <c r="F391">
        <v>1.1796499490737899</v>
      </c>
      <c r="G391">
        <v>1786</v>
      </c>
      <c r="H391">
        <v>1.1769599914550699</v>
      </c>
      <c r="I391">
        <v>-2.09999084472611E-4</v>
      </c>
      <c r="J391" t="str">
        <f t="shared" si="51"/>
        <v>DOWN</v>
      </c>
      <c r="K391">
        <v>1.17429500102996</v>
      </c>
      <c r="L391" s="1">
        <v>9.9999904632497305E-5</v>
      </c>
      <c r="M391" t="str">
        <f t="shared" si="52"/>
        <v>UP</v>
      </c>
      <c r="N391">
        <v>2.6649904251099198E-3</v>
      </c>
      <c r="O391" t="str">
        <f t="shared" si="53"/>
        <v>UP</v>
      </c>
      <c r="P391">
        <v>56.622995403864202</v>
      </c>
      <c r="Q391">
        <v>2.5804735124378402</v>
      </c>
      <c r="R391" t="str">
        <f t="shared" si="54"/>
        <v>UP</v>
      </c>
      <c r="S391">
        <v>1.1757999658584499</v>
      </c>
      <c r="T391" t="str">
        <f t="shared" si="48"/>
        <v>UP</v>
      </c>
      <c r="U391">
        <v>1.1769499778747501</v>
      </c>
      <c r="V391" t="str">
        <f t="shared" si="55"/>
        <v>DOWN</v>
      </c>
      <c r="W391">
        <v>1.1775499582290601</v>
      </c>
      <c r="X391" t="str">
        <f t="shared" si="49"/>
        <v>UP</v>
      </c>
      <c r="Y391">
        <v>1.1775000095367401</v>
      </c>
      <c r="Z391" t="str">
        <f t="shared" si="50"/>
        <v>UP</v>
      </c>
      <c r="AA391">
        <v>1</v>
      </c>
      <c r="AB391">
        <v>0</v>
      </c>
      <c r="AC391">
        <v>0</v>
      </c>
      <c r="AD391">
        <v>0</v>
      </c>
    </row>
    <row r="392" spans="1:30" hidden="1" x14ac:dyDescent="0.35">
      <c r="A392" s="2">
        <v>45902</v>
      </c>
      <c r="B392" t="s">
        <v>41</v>
      </c>
      <c r="C392">
        <v>1.1769000291824301</v>
      </c>
      <c r="D392">
        <v>1.1770499944686801</v>
      </c>
      <c r="E392">
        <v>1.1762499809265099</v>
      </c>
      <c r="F392">
        <v>1.1770000457763601</v>
      </c>
      <c r="G392">
        <v>954</v>
      </c>
      <c r="H392">
        <v>1.17690000534057</v>
      </c>
      <c r="I392" s="1">
        <v>-5.99861145018643E-5</v>
      </c>
      <c r="J392" t="str">
        <f t="shared" si="51"/>
        <v>DOWN</v>
      </c>
      <c r="K392">
        <v>1.1744140005111601</v>
      </c>
      <c r="L392">
        <v>1.1899948120119801E-4</v>
      </c>
      <c r="M392" t="str">
        <f t="shared" si="52"/>
        <v>UP</v>
      </c>
      <c r="N392">
        <v>2.48600482940686E-3</v>
      </c>
      <c r="O392" t="str">
        <f t="shared" si="53"/>
        <v>UP</v>
      </c>
      <c r="P392">
        <v>57.556367497023402</v>
      </c>
      <c r="Q392">
        <v>0.93337209315924197</v>
      </c>
      <c r="R392" t="str">
        <f t="shared" si="54"/>
        <v>UP</v>
      </c>
      <c r="S392">
        <v>1.1763999462127599</v>
      </c>
      <c r="T392" t="str">
        <f t="shared" si="48"/>
        <v>DOWN</v>
      </c>
      <c r="U392">
        <v>1.1757999658584499</v>
      </c>
      <c r="V392" t="str">
        <f t="shared" si="55"/>
        <v>UP</v>
      </c>
      <c r="W392">
        <v>1.1796499490737899</v>
      </c>
      <c r="X392" t="str">
        <f t="shared" si="49"/>
        <v>DOWN</v>
      </c>
      <c r="Y392">
        <v>1.1775499582290601</v>
      </c>
      <c r="Z392" t="str">
        <f t="shared" si="50"/>
        <v>DOWN</v>
      </c>
      <c r="AA392">
        <v>0</v>
      </c>
      <c r="AB392">
        <v>0</v>
      </c>
      <c r="AC392">
        <v>0</v>
      </c>
      <c r="AD392">
        <v>0</v>
      </c>
    </row>
    <row r="393" spans="1:30" hidden="1" x14ac:dyDescent="0.35">
      <c r="A393" s="2">
        <v>45902</v>
      </c>
      <c r="B393" t="s">
        <v>34</v>
      </c>
      <c r="C393">
        <v>1.17774999141693</v>
      </c>
      <c r="D393">
        <v>1.17805004119873</v>
      </c>
      <c r="E393">
        <v>1.1770000457763601</v>
      </c>
      <c r="F393">
        <v>1.1770000457763601</v>
      </c>
      <c r="G393">
        <v>308</v>
      </c>
      <c r="H393">
        <v>1.1769700050353999</v>
      </c>
      <c r="I393" s="1">
        <v>6.9999694824129905E-5</v>
      </c>
      <c r="J393" t="str">
        <f t="shared" si="51"/>
        <v>UP</v>
      </c>
      <c r="K393">
        <v>1.17454400062561</v>
      </c>
      <c r="L393">
        <v>1.30000114440864E-4</v>
      </c>
      <c r="M393" t="str">
        <f t="shared" si="52"/>
        <v>UP</v>
      </c>
      <c r="N393">
        <v>2.4260044097901201E-3</v>
      </c>
      <c r="O393" t="str">
        <f t="shared" si="53"/>
        <v>UP</v>
      </c>
      <c r="P393">
        <v>61.360925627068497</v>
      </c>
      <c r="Q393">
        <v>3.8045581300450801</v>
      </c>
      <c r="R393" t="str">
        <f t="shared" si="54"/>
        <v>UP</v>
      </c>
      <c r="S393">
        <v>1.1762499809265099</v>
      </c>
      <c r="T393" t="str">
        <f t="shared" si="48"/>
        <v>UP</v>
      </c>
      <c r="U393">
        <v>1.1763999462127599</v>
      </c>
      <c r="V393" t="str">
        <f t="shared" si="55"/>
        <v>UP</v>
      </c>
      <c r="W393">
        <v>1.1770499944686801</v>
      </c>
      <c r="X393" t="str">
        <f t="shared" si="49"/>
        <v>UP</v>
      </c>
      <c r="Y393">
        <v>1.1796499490737899</v>
      </c>
      <c r="Z393" t="str">
        <f t="shared" si="50"/>
        <v>DOWN</v>
      </c>
      <c r="AA393">
        <v>0</v>
      </c>
      <c r="AB393">
        <v>0</v>
      </c>
      <c r="AC393">
        <v>0</v>
      </c>
      <c r="AD393">
        <v>0</v>
      </c>
    </row>
    <row r="394" spans="1:30" hidden="1" x14ac:dyDescent="0.35">
      <c r="A394" s="2">
        <v>45902</v>
      </c>
      <c r="B394" t="s">
        <v>35</v>
      </c>
      <c r="C394">
        <v>1.1719000339507999</v>
      </c>
      <c r="D394">
        <v>1.17805004119873</v>
      </c>
      <c r="E394">
        <v>1.1717499494552599</v>
      </c>
      <c r="F394">
        <v>1.17774999141693</v>
      </c>
      <c r="G394">
        <v>3235</v>
      </c>
      <c r="H394">
        <v>1.1758800029754599</v>
      </c>
      <c r="I394">
        <v>-1.0900020599364699E-3</v>
      </c>
      <c r="J394" t="str">
        <f t="shared" si="51"/>
        <v>DOWN</v>
      </c>
      <c r="K394">
        <v>1.1745540022850001</v>
      </c>
      <c r="L394" s="1">
        <v>1.00016593933549E-5</v>
      </c>
      <c r="M394" t="str">
        <f t="shared" si="52"/>
        <v>UP</v>
      </c>
      <c r="N394">
        <v>1.32600069046029E-3</v>
      </c>
      <c r="O394" t="str">
        <f t="shared" si="53"/>
        <v>UP</v>
      </c>
      <c r="P394">
        <v>36.8667002820062</v>
      </c>
      <c r="Q394">
        <v>-24.494225345062201</v>
      </c>
      <c r="R394" t="str">
        <f t="shared" si="54"/>
        <v>DOWN</v>
      </c>
      <c r="S394">
        <v>1.1770000457763601</v>
      </c>
      <c r="T394" t="str">
        <f t="shared" si="48"/>
        <v>DOWN</v>
      </c>
      <c r="U394">
        <v>1.1762499809265099</v>
      </c>
      <c r="V394" t="str">
        <f t="shared" si="55"/>
        <v>DOWN</v>
      </c>
      <c r="W394">
        <v>1.17805004119873</v>
      </c>
      <c r="X394" t="str">
        <f t="shared" si="49"/>
        <v>DOWN</v>
      </c>
      <c r="Y394">
        <v>1.1770499944686801</v>
      </c>
      <c r="Z394" t="str">
        <f t="shared" si="50"/>
        <v>UP</v>
      </c>
      <c r="AA394">
        <v>0</v>
      </c>
      <c r="AB394">
        <v>0</v>
      </c>
      <c r="AC394">
        <v>0</v>
      </c>
      <c r="AD394">
        <v>0</v>
      </c>
    </row>
    <row r="395" spans="1:30" hidden="1" x14ac:dyDescent="0.35">
      <c r="A395" s="2">
        <v>45902</v>
      </c>
      <c r="B395" t="s">
        <v>36</v>
      </c>
      <c r="C395">
        <v>1.1718499660491899</v>
      </c>
      <c r="D395">
        <v>1.1729500293731601</v>
      </c>
      <c r="E395">
        <v>1.1708999872207599</v>
      </c>
      <c r="F395">
        <v>1.1719000339507999</v>
      </c>
      <c r="G395">
        <v>350</v>
      </c>
      <c r="H395">
        <v>1.1750200033187801</v>
      </c>
      <c r="I395">
        <v>-8.59999656677379E-4</v>
      </c>
      <c r="J395" t="str">
        <f t="shared" si="51"/>
        <v>DOWN</v>
      </c>
      <c r="K395">
        <v>1.1745520019531199</v>
      </c>
      <c r="L395" s="1">
        <v>-2.0003318785821699E-6</v>
      </c>
      <c r="M395" t="str">
        <f t="shared" si="52"/>
        <v>DOWN</v>
      </c>
      <c r="N395">
        <v>4.6800136566149599E-4</v>
      </c>
      <c r="O395" t="str">
        <f t="shared" si="53"/>
        <v>UP</v>
      </c>
      <c r="P395">
        <v>36.731554504812898</v>
      </c>
      <c r="Q395">
        <v>-0.135145777193308</v>
      </c>
      <c r="R395" t="str">
        <f t="shared" si="54"/>
        <v>DOWN</v>
      </c>
      <c r="S395">
        <v>1.1717499494552599</v>
      </c>
      <c r="T395" t="str">
        <f t="shared" si="48"/>
        <v>DOWN</v>
      </c>
      <c r="U395">
        <v>1.1770000457763601</v>
      </c>
      <c r="V395" t="str">
        <f t="shared" si="55"/>
        <v>DOWN</v>
      </c>
      <c r="W395">
        <v>1.17805004119873</v>
      </c>
      <c r="X395" t="str">
        <f t="shared" si="49"/>
        <v>DOWN</v>
      </c>
      <c r="Y395">
        <v>1.17805004119873</v>
      </c>
      <c r="Z395" t="str">
        <f t="shared" si="50"/>
        <v>DOWN</v>
      </c>
      <c r="AA395">
        <v>0</v>
      </c>
      <c r="AB395">
        <v>0</v>
      </c>
      <c r="AC395">
        <v>0</v>
      </c>
      <c r="AD395">
        <v>0</v>
      </c>
    </row>
    <row r="396" spans="1:30" hidden="1" x14ac:dyDescent="0.35">
      <c r="A396" s="2">
        <v>45902</v>
      </c>
      <c r="B396" t="s">
        <v>37</v>
      </c>
      <c r="C396">
        <v>1.1711000204086299</v>
      </c>
      <c r="D396">
        <v>1.1721999645233101</v>
      </c>
      <c r="E396">
        <v>1.1698499917984</v>
      </c>
      <c r="F396">
        <v>1.1721999645233101</v>
      </c>
      <c r="G396">
        <v>2901</v>
      </c>
      <c r="H396">
        <v>1.17390000820159</v>
      </c>
      <c r="I396">
        <v>-1.1199951171874101E-3</v>
      </c>
      <c r="J396" t="str">
        <f t="shared" si="51"/>
        <v>DOWN</v>
      </c>
      <c r="K396">
        <v>1.1745340013504</v>
      </c>
      <c r="L396" s="1">
        <v>-1.8000602722167901E-5</v>
      </c>
      <c r="M396" t="str">
        <f t="shared" si="52"/>
        <v>DOWN</v>
      </c>
      <c r="N396">
        <v>-6.3399314880374603E-4</v>
      </c>
      <c r="O396" t="str">
        <f t="shared" si="53"/>
        <v>DOWN</v>
      </c>
      <c r="P396">
        <v>34.680805694006899</v>
      </c>
      <c r="Q396">
        <v>-2.0507488108060401</v>
      </c>
      <c r="R396" t="str">
        <f t="shared" si="54"/>
        <v>DOWN</v>
      </c>
      <c r="S396">
        <v>1.1708999872207599</v>
      </c>
      <c r="T396" t="str">
        <f t="shared" si="48"/>
        <v>DOWN</v>
      </c>
      <c r="U396">
        <v>1.1717499494552599</v>
      </c>
      <c r="V396" t="str">
        <f t="shared" si="55"/>
        <v>DOWN</v>
      </c>
      <c r="W396">
        <v>1.1729500293731601</v>
      </c>
      <c r="X396" t="str">
        <f t="shared" si="49"/>
        <v>DOWN</v>
      </c>
      <c r="Y396">
        <v>1.17805004119873</v>
      </c>
      <c r="Z396" t="str">
        <f t="shared" si="50"/>
        <v>DOWN</v>
      </c>
      <c r="AA396">
        <v>0</v>
      </c>
      <c r="AB396">
        <v>0</v>
      </c>
      <c r="AC396">
        <v>0</v>
      </c>
      <c r="AD396">
        <v>0</v>
      </c>
    </row>
    <row r="397" spans="1:30" hidden="1" x14ac:dyDescent="0.35">
      <c r="A397" s="2">
        <v>45902</v>
      </c>
      <c r="B397" t="s">
        <v>20</v>
      </c>
      <c r="C397">
        <v>1.17054998874664</v>
      </c>
      <c r="D397">
        <v>1.1714500188827499</v>
      </c>
      <c r="E397">
        <v>1.17009997367858</v>
      </c>
      <c r="F397">
        <v>1.1709500551223699</v>
      </c>
      <c r="G397">
        <v>1650</v>
      </c>
      <c r="H397">
        <v>1.1726300001144401</v>
      </c>
      <c r="I397">
        <v>-1.27000808715815E-3</v>
      </c>
      <c r="J397" t="str">
        <f t="shared" si="51"/>
        <v>DOWN</v>
      </c>
      <c r="K397">
        <v>1.1745040011405901</v>
      </c>
      <c r="L397" s="1">
        <v>-3.0000209808367298E-5</v>
      </c>
      <c r="M397" t="str">
        <f t="shared" si="52"/>
        <v>DOWN</v>
      </c>
      <c r="N397">
        <v>-1.87400102615353E-3</v>
      </c>
      <c r="O397" t="str">
        <f t="shared" si="53"/>
        <v>DOWN</v>
      </c>
      <c r="P397">
        <v>33.216054719368799</v>
      </c>
      <c r="Q397">
        <v>-1.46475097463806</v>
      </c>
      <c r="R397" t="str">
        <f t="shared" si="54"/>
        <v>DOWN</v>
      </c>
      <c r="S397">
        <v>1.1698499917984</v>
      </c>
      <c r="T397" t="str">
        <f t="shared" si="48"/>
        <v>UP</v>
      </c>
      <c r="U397">
        <v>1.1708999872207599</v>
      </c>
      <c r="V397" t="str">
        <f t="shared" si="55"/>
        <v>DOWN</v>
      </c>
      <c r="W397">
        <v>1.1721999645233101</v>
      </c>
      <c r="X397" t="str">
        <f t="shared" si="49"/>
        <v>DOWN</v>
      </c>
      <c r="Y397">
        <v>1.1729500293731601</v>
      </c>
      <c r="Z397" t="str">
        <f t="shared" si="50"/>
        <v>DOWN</v>
      </c>
      <c r="AA397">
        <v>0</v>
      </c>
      <c r="AB397">
        <v>0</v>
      </c>
      <c r="AC397">
        <v>0</v>
      </c>
      <c r="AD397">
        <v>0</v>
      </c>
    </row>
    <row r="398" spans="1:30" hidden="1" x14ac:dyDescent="0.35">
      <c r="A398" s="2">
        <v>45902</v>
      </c>
      <c r="B398" t="s">
        <v>21</v>
      </c>
      <c r="C398">
        <v>1.1720999479293801</v>
      </c>
      <c r="D398">
        <v>1.1723500490188501</v>
      </c>
      <c r="E398">
        <v>1.17019999027252</v>
      </c>
      <c r="F398">
        <v>1.1707500219345</v>
      </c>
      <c r="G398">
        <v>782</v>
      </c>
      <c r="H398">
        <v>1.17149999141693</v>
      </c>
      <c r="I398">
        <v>-1.13000869750989E-3</v>
      </c>
      <c r="J398" t="str">
        <f t="shared" si="51"/>
        <v>DOWN</v>
      </c>
      <c r="K398">
        <v>1.1745079994201599</v>
      </c>
      <c r="L398" s="1">
        <v>3.99827957142662E-6</v>
      </c>
      <c r="M398" t="str">
        <f t="shared" si="52"/>
        <v>UP</v>
      </c>
      <c r="N398">
        <v>-3.0080080032348598E-3</v>
      </c>
      <c r="O398" t="str">
        <f t="shared" si="53"/>
        <v>DOWN</v>
      </c>
      <c r="P398">
        <v>40.803381223684198</v>
      </c>
      <c r="Q398">
        <v>7.5873265043153602</v>
      </c>
      <c r="R398" t="str">
        <f t="shared" si="54"/>
        <v>UP</v>
      </c>
      <c r="S398">
        <v>1.17009997367858</v>
      </c>
      <c r="T398" t="str">
        <f t="shared" si="48"/>
        <v>UP</v>
      </c>
      <c r="U398">
        <v>1.1698499917984</v>
      </c>
      <c r="V398" t="str">
        <f t="shared" si="55"/>
        <v>UP</v>
      </c>
      <c r="W398">
        <v>1.1714500188827499</v>
      </c>
      <c r="X398" t="str">
        <f t="shared" si="49"/>
        <v>UP</v>
      </c>
      <c r="Y398">
        <v>1.1721999645233101</v>
      </c>
      <c r="Z398" t="str">
        <f t="shared" si="50"/>
        <v>UP</v>
      </c>
      <c r="AA398">
        <v>0</v>
      </c>
      <c r="AB398">
        <v>0</v>
      </c>
      <c r="AC398">
        <v>0</v>
      </c>
      <c r="AD398">
        <v>0</v>
      </c>
    </row>
    <row r="399" spans="1:30" hidden="1" x14ac:dyDescent="0.35">
      <c r="A399" s="2">
        <v>45902</v>
      </c>
      <c r="B399" t="s">
        <v>22</v>
      </c>
      <c r="C399">
        <v>1.16939997673034</v>
      </c>
      <c r="D399">
        <v>1.1726499795913601</v>
      </c>
      <c r="E399">
        <v>1.1686999797821001</v>
      </c>
      <c r="F399">
        <v>1.1720000505447301</v>
      </c>
      <c r="G399">
        <v>5128</v>
      </c>
      <c r="H399">
        <v>1.1709999799728299</v>
      </c>
      <c r="I399">
        <v>-5.0001144409161902E-4</v>
      </c>
      <c r="J399" t="str">
        <f t="shared" si="51"/>
        <v>DOWN</v>
      </c>
      <c r="K399">
        <v>1.1744429993629399</v>
      </c>
      <c r="L399" s="1">
        <v>-6.5000057220432298E-5</v>
      </c>
      <c r="M399" t="str">
        <f t="shared" si="52"/>
        <v>DOWN</v>
      </c>
      <c r="N399">
        <v>-3.4430193901060502E-3</v>
      </c>
      <c r="O399" t="str">
        <f t="shared" si="53"/>
        <v>DOWN</v>
      </c>
      <c r="P399">
        <v>33.634855860322197</v>
      </c>
      <c r="Q399">
        <v>-7.1685253633619803</v>
      </c>
      <c r="R399" t="str">
        <f t="shared" si="54"/>
        <v>DOWN</v>
      </c>
      <c r="S399">
        <v>1.17019999027252</v>
      </c>
      <c r="T399" t="str">
        <f t="shared" si="48"/>
        <v>DOWN</v>
      </c>
      <c r="U399">
        <v>1.17009997367858</v>
      </c>
      <c r="V399" t="str">
        <f t="shared" si="55"/>
        <v>DOWN</v>
      </c>
      <c r="W399">
        <v>1.1723500490188501</v>
      </c>
      <c r="X399" t="str">
        <f t="shared" si="49"/>
        <v>UP</v>
      </c>
      <c r="Y399">
        <v>1.1714500188827499</v>
      </c>
      <c r="Z399" t="str">
        <f t="shared" si="50"/>
        <v>UP</v>
      </c>
      <c r="AA399">
        <v>0</v>
      </c>
      <c r="AB399">
        <v>1</v>
      </c>
      <c r="AC399">
        <v>0</v>
      </c>
      <c r="AD399">
        <v>0</v>
      </c>
    </row>
    <row r="400" spans="1:30" hidden="1" x14ac:dyDescent="0.35">
      <c r="A400" s="2">
        <v>45902</v>
      </c>
      <c r="B400" t="s">
        <v>23</v>
      </c>
      <c r="C400">
        <v>1.1723500490188501</v>
      </c>
      <c r="D400">
        <v>1.1725000143051101</v>
      </c>
      <c r="E400">
        <v>1.16904997825622</v>
      </c>
      <c r="F400">
        <v>1.16914999485015</v>
      </c>
      <c r="G400">
        <v>1183</v>
      </c>
      <c r="H400">
        <v>1.1710999965667701</v>
      </c>
      <c r="I400">
        <v>1.0001659393310499E-4</v>
      </c>
      <c r="J400" t="str">
        <f t="shared" si="51"/>
        <v>UP</v>
      </c>
      <c r="K400">
        <v>1.17445300102233</v>
      </c>
      <c r="L400" s="1">
        <v>1.00016593933549E-5</v>
      </c>
      <c r="M400" t="str">
        <f t="shared" si="52"/>
        <v>UP</v>
      </c>
      <c r="N400">
        <v>-3.3530044555662901E-3</v>
      </c>
      <c r="O400" t="str">
        <f t="shared" si="53"/>
        <v>DOWN</v>
      </c>
      <c r="P400">
        <v>45.003896171573501</v>
      </c>
      <c r="Q400">
        <v>11.3690403112513</v>
      </c>
      <c r="R400" t="str">
        <f t="shared" si="54"/>
        <v>UP</v>
      </c>
      <c r="S400">
        <v>1.1686999797821001</v>
      </c>
      <c r="T400" t="str">
        <f t="shared" si="48"/>
        <v>UP</v>
      </c>
      <c r="U400">
        <v>1.17019999027252</v>
      </c>
      <c r="V400" t="str">
        <f t="shared" si="55"/>
        <v>DOWN</v>
      </c>
      <c r="W400">
        <v>1.1726499795913601</v>
      </c>
      <c r="X400" t="str">
        <f t="shared" si="49"/>
        <v>DOWN</v>
      </c>
      <c r="Y400">
        <v>1.1723500490188501</v>
      </c>
      <c r="Z400" t="str">
        <f t="shared" si="50"/>
        <v>UP</v>
      </c>
      <c r="AA400">
        <v>0</v>
      </c>
      <c r="AB400">
        <v>0</v>
      </c>
      <c r="AC400">
        <v>0</v>
      </c>
      <c r="AD400">
        <v>0</v>
      </c>
    </row>
    <row r="401" spans="1:30" hidden="1" x14ac:dyDescent="0.35">
      <c r="A401" s="2">
        <v>45902</v>
      </c>
      <c r="B401" t="s">
        <v>24</v>
      </c>
      <c r="C401">
        <v>1.17365002632141</v>
      </c>
      <c r="D401">
        <v>1.1756500005721999</v>
      </c>
      <c r="E401">
        <v>1.1726499795913601</v>
      </c>
      <c r="F401">
        <v>1.1726499795913601</v>
      </c>
      <c r="G401">
        <v>5666</v>
      </c>
      <c r="H401">
        <v>1.17160999774932</v>
      </c>
      <c r="I401">
        <v>5.1000118255606298E-4</v>
      </c>
      <c r="J401" t="str">
        <f t="shared" si="51"/>
        <v>UP</v>
      </c>
      <c r="K401">
        <v>1.1744950008392301</v>
      </c>
      <c r="L401" s="1">
        <v>4.1999816894566703E-5</v>
      </c>
      <c r="M401" t="str">
        <f t="shared" si="52"/>
        <v>UP</v>
      </c>
      <c r="N401">
        <v>-2.8850030899047999E-3</v>
      </c>
      <c r="O401" t="str">
        <f t="shared" si="53"/>
        <v>DOWN</v>
      </c>
      <c r="P401">
        <v>49.1387361536583</v>
      </c>
      <c r="Q401">
        <v>4.1348399820847899</v>
      </c>
      <c r="R401" t="str">
        <f t="shared" si="54"/>
        <v>UP</v>
      </c>
      <c r="S401">
        <v>1.16904997825622</v>
      </c>
      <c r="T401" t="str">
        <f t="shared" si="48"/>
        <v>UP</v>
      </c>
      <c r="U401">
        <v>1.1686999797821001</v>
      </c>
      <c r="V401" t="str">
        <f t="shared" si="55"/>
        <v>UP</v>
      </c>
      <c r="W401">
        <v>1.1725000143051101</v>
      </c>
      <c r="X401" t="str">
        <f t="shared" si="49"/>
        <v>UP</v>
      </c>
      <c r="Y401">
        <v>1.1726499795913601</v>
      </c>
      <c r="Z401" t="str">
        <f t="shared" si="50"/>
        <v>UP</v>
      </c>
      <c r="AA401">
        <v>0</v>
      </c>
      <c r="AB401">
        <v>0</v>
      </c>
      <c r="AC401">
        <v>0</v>
      </c>
      <c r="AD401">
        <v>0</v>
      </c>
    </row>
    <row r="402" spans="1:30" hidden="1" x14ac:dyDescent="0.35">
      <c r="A402" s="2">
        <v>45902</v>
      </c>
      <c r="B402" t="s">
        <v>25</v>
      </c>
      <c r="C402">
        <v>1.1726000308990401</v>
      </c>
      <c r="D402">
        <v>1.17420005798339</v>
      </c>
      <c r="E402">
        <v>1.1724499464035001</v>
      </c>
      <c r="F402">
        <v>1.17365002632141</v>
      </c>
      <c r="G402">
        <v>595</v>
      </c>
      <c r="H402">
        <v>1.1720200061798001</v>
      </c>
      <c r="I402">
        <v>4.1000843048100101E-4</v>
      </c>
      <c r="J402" t="str">
        <f t="shared" si="51"/>
        <v>UP</v>
      </c>
      <c r="K402">
        <v>1.17451900243759</v>
      </c>
      <c r="L402" s="1">
        <v>2.4001598358136499E-5</v>
      </c>
      <c r="M402" t="str">
        <f t="shared" si="52"/>
        <v>UP</v>
      </c>
      <c r="N402">
        <v>-2.4989962577819302E-3</v>
      </c>
      <c r="O402" t="str">
        <f t="shared" si="53"/>
        <v>DOWN</v>
      </c>
      <c r="P402">
        <v>46.122430889482601</v>
      </c>
      <c r="Q402">
        <v>-3.01630526417566</v>
      </c>
      <c r="R402" t="str">
        <f t="shared" si="54"/>
        <v>DOWN</v>
      </c>
      <c r="S402">
        <v>1.1726499795913601</v>
      </c>
      <c r="T402" t="str">
        <f t="shared" si="48"/>
        <v>DOWN</v>
      </c>
      <c r="U402">
        <v>1.16904997825622</v>
      </c>
      <c r="V402" t="str">
        <f t="shared" si="55"/>
        <v>UP</v>
      </c>
      <c r="W402">
        <v>1.1756500005721999</v>
      </c>
      <c r="X402" t="str">
        <f t="shared" si="49"/>
        <v>DOWN</v>
      </c>
      <c r="Y402">
        <v>1.1725000143051101</v>
      </c>
      <c r="Z402" t="str">
        <f t="shared" si="50"/>
        <v>UP</v>
      </c>
      <c r="AA402">
        <v>0</v>
      </c>
      <c r="AB402">
        <v>0</v>
      </c>
      <c r="AC402">
        <v>0</v>
      </c>
      <c r="AD402">
        <v>0</v>
      </c>
    </row>
    <row r="403" spans="1:30" hidden="1" x14ac:dyDescent="0.35">
      <c r="A403" s="2">
        <v>45902</v>
      </c>
      <c r="B403" t="s">
        <v>26</v>
      </c>
      <c r="C403">
        <v>1.1717499494552599</v>
      </c>
      <c r="D403">
        <v>1.1728500127792301</v>
      </c>
      <c r="E403">
        <v>1.1717499494552599</v>
      </c>
      <c r="F403">
        <v>1.1727499961853001</v>
      </c>
      <c r="G403">
        <v>262</v>
      </c>
      <c r="H403">
        <v>1.1719500064849799</v>
      </c>
      <c r="I403" s="1">
        <v>-6.9999694824351895E-5</v>
      </c>
      <c r="J403" t="str">
        <f t="shared" si="51"/>
        <v>DOWN</v>
      </c>
      <c r="K403">
        <v>1.1745200014114301</v>
      </c>
      <c r="L403" s="1">
        <v>9.9897384653324608E-7</v>
      </c>
      <c r="M403" t="str">
        <f t="shared" si="52"/>
        <v>UP</v>
      </c>
      <c r="N403">
        <v>-2.5699949264528202E-3</v>
      </c>
      <c r="O403" t="str">
        <f t="shared" si="53"/>
        <v>DOWN</v>
      </c>
      <c r="P403">
        <v>43.779395315809303</v>
      </c>
      <c r="Q403">
        <v>-2.3430355736733599</v>
      </c>
      <c r="R403" t="str">
        <f t="shared" si="54"/>
        <v>DOWN</v>
      </c>
      <c r="S403">
        <v>1.1724499464035001</v>
      </c>
      <c r="T403" t="str">
        <f t="shared" si="48"/>
        <v>DOWN</v>
      </c>
      <c r="U403">
        <v>1.1726499795913601</v>
      </c>
      <c r="V403" t="str">
        <f t="shared" si="55"/>
        <v>DOWN</v>
      </c>
      <c r="W403">
        <v>1.17420005798339</v>
      </c>
      <c r="X403" t="str">
        <f t="shared" si="49"/>
        <v>DOWN</v>
      </c>
      <c r="Y403">
        <v>1.1756500005721999</v>
      </c>
      <c r="Z403" t="str">
        <f t="shared" si="50"/>
        <v>DOWN</v>
      </c>
      <c r="AA403">
        <v>0</v>
      </c>
      <c r="AB403">
        <v>0</v>
      </c>
      <c r="AC403">
        <v>0</v>
      </c>
      <c r="AD403">
        <v>0</v>
      </c>
    </row>
    <row r="404" spans="1:30" hidden="1" x14ac:dyDescent="0.35">
      <c r="A404" s="2">
        <v>45902</v>
      </c>
      <c r="B404" t="s">
        <v>27</v>
      </c>
      <c r="C404">
        <v>1.1715500354766799</v>
      </c>
      <c r="D404">
        <v>1.1721500158309901</v>
      </c>
      <c r="E404">
        <v>1.1715500354766799</v>
      </c>
      <c r="F404">
        <v>1.1717499494552599</v>
      </c>
      <c r="G404">
        <v>3280</v>
      </c>
      <c r="H404">
        <v>1.1723800182342501</v>
      </c>
      <c r="I404">
        <v>4.3001174926771103E-4</v>
      </c>
      <c r="J404" t="str">
        <f t="shared" si="51"/>
        <v>UP</v>
      </c>
      <c r="K404">
        <v>1.17452500104904</v>
      </c>
      <c r="L404" s="1">
        <v>4.9996376036975897E-6</v>
      </c>
      <c r="M404" t="str">
        <f t="shared" si="52"/>
        <v>UP</v>
      </c>
      <c r="N404">
        <v>-2.1449828147887999E-3</v>
      </c>
      <c r="O404" t="str">
        <f t="shared" si="53"/>
        <v>DOWN</v>
      </c>
      <c r="P404">
        <v>43.2232966024729</v>
      </c>
      <c r="Q404">
        <v>-0.55609871333641003</v>
      </c>
      <c r="R404" t="str">
        <f t="shared" si="54"/>
        <v>DOWN</v>
      </c>
      <c r="S404">
        <v>1.1717499494552599</v>
      </c>
      <c r="T404" t="str">
        <f t="shared" si="48"/>
        <v>DOWN</v>
      </c>
      <c r="U404">
        <v>1.1724499464035001</v>
      </c>
      <c r="V404" t="str">
        <f t="shared" si="55"/>
        <v>DOWN</v>
      </c>
      <c r="W404">
        <v>1.1728500127792301</v>
      </c>
      <c r="X404" t="str">
        <f t="shared" si="49"/>
        <v>DOWN</v>
      </c>
      <c r="Y404">
        <v>1.17420005798339</v>
      </c>
      <c r="Z404" t="str">
        <f t="shared" si="50"/>
        <v>DOWN</v>
      </c>
      <c r="AA404">
        <v>0</v>
      </c>
      <c r="AB404">
        <v>0</v>
      </c>
      <c r="AC404">
        <v>0</v>
      </c>
      <c r="AD404">
        <v>0</v>
      </c>
    </row>
    <row r="405" spans="1:30" hidden="1" x14ac:dyDescent="0.35">
      <c r="A405" s="2">
        <v>45902</v>
      </c>
      <c r="B405" t="s">
        <v>38</v>
      </c>
      <c r="C405">
        <v>1.1707500219345</v>
      </c>
      <c r="D405">
        <v>1.1715500354766799</v>
      </c>
      <c r="E405">
        <v>1.17034995555877</v>
      </c>
      <c r="F405">
        <v>1.1714999675750699</v>
      </c>
      <c r="G405">
        <v>2812</v>
      </c>
      <c r="H405">
        <v>1.1720600128173799</v>
      </c>
      <c r="I405">
        <v>-3.20005416870161E-4</v>
      </c>
      <c r="J405" t="str">
        <f t="shared" si="51"/>
        <v>DOWN</v>
      </c>
      <c r="K405">
        <v>1.1745050024986201</v>
      </c>
      <c r="L405" s="1">
        <v>-1.99985504150124E-5</v>
      </c>
      <c r="M405" t="str">
        <f t="shared" si="52"/>
        <v>DOWN</v>
      </c>
      <c r="N405">
        <v>-2.44498968124395E-3</v>
      </c>
      <c r="O405" t="str">
        <f t="shared" si="53"/>
        <v>DOWN</v>
      </c>
      <c r="P405">
        <v>40.979969408725701</v>
      </c>
      <c r="Q405">
        <v>-2.2433271937471102</v>
      </c>
      <c r="R405" t="str">
        <f t="shared" si="54"/>
        <v>DOWN</v>
      </c>
      <c r="S405">
        <v>1.1715500354766799</v>
      </c>
      <c r="T405" t="str">
        <f t="shared" si="48"/>
        <v>DOWN</v>
      </c>
      <c r="U405">
        <v>1.1717499494552599</v>
      </c>
      <c r="V405" t="str">
        <f t="shared" si="55"/>
        <v>DOWN</v>
      </c>
      <c r="W405">
        <v>1.1721500158309901</v>
      </c>
      <c r="X405" t="str">
        <f t="shared" si="49"/>
        <v>DOWN</v>
      </c>
      <c r="Y405">
        <v>1.1728500127792301</v>
      </c>
      <c r="Z405" t="str">
        <f t="shared" si="50"/>
        <v>DOWN</v>
      </c>
      <c r="AA405">
        <v>0</v>
      </c>
      <c r="AB405">
        <v>0</v>
      </c>
      <c r="AC405">
        <v>0</v>
      </c>
      <c r="AD405">
        <v>0</v>
      </c>
    </row>
    <row r="406" spans="1:30" hidden="1" x14ac:dyDescent="0.35">
      <c r="A406" s="2">
        <v>45902</v>
      </c>
      <c r="B406" t="s">
        <v>28</v>
      </c>
      <c r="C406">
        <v>1.1714500188827499</v>
      </c>
      <c r="D406">
        <v>1.1714500188827499</v>
      </c>
      <c r="E406">
        <v>1.17060005664825</v>
      </c>
      <c r="F406">
        <v>1.1707999706268299</v>
      </c>
      <c r="G406">
        <v>407</v>
      </c>
      <c r="H406">
        <v>1.17162001132965</v>
      </c>
      <c r="I406">
        <v>-4.40001487731933E-4</v>
      </c>
      <c r="J406" t="str">
        <f t="shared" si="51"/>
        <v>DOWN</v>
      </c>
      <c r="K406">
        <v>1.1744820022583</v>
      </c>
      <c r="L406" s="1">
        <v>-2.30002403260876E-5</v>
      </c>
      <c r="M406" t="str">
        <f t="shared" si="52"/>
        <v>DOWN</v>
      </c>
      <c r="N406">
        <v>-2.8619909286497999E-3</v>
      </c>
      <c r="O406" t="str">
        <f t="shared" si="53"/>
        <v>DOWN</v>
      </c>
      <c r="P406">
        <v>43.731797302741199</v>
      </c>
      <c r="Q406">
        <v>2.7518278940154701</v>
      </c>
      <c r="R406" t="str">
        <f t="shared" si="54"/>
        <v>UP</v>
      </c>
      <c r="S406">
        <v>1.17034995555877</v>
      </c>
      <c r="T406" t="str">
        <f t="shared" si="48"/>
        <v>UP</v>
      </c>
      <c r="U406">
        <v>1.1715500354766799</v>
      </c>
      <c r="V406" t="str">
        <f t="shared" si="55"/>
        <v>DOWN</v>
      </c>
      <c r="W406">
        <v>1.1715500354766799</v>
      </c>
      <c r="X406" t="str">
        <f t="shared" si="49"/>
        <v>DOWN</v>
      </c>
      <c r="Y406">
        <v>1.1721500158309901</v>
      </c>
      <c r="Z406" t="str">
        <f t="shared" si="50"/>
        <v>DOWN</v>
      </c>
      <c r="AA406">
        <v>0</v>
      </c>
      <c r="AB406">
        <v>0</v>
      </c>
      <c r="AC406">
        <v>0</v>
      </c>
      <c r="AD406">
        <v>0</v>
      </c>
    </row>
    <row r="407" spans="1:30" hidden="1" x14ac:dyDescent="0.35">
      <c r="A407" s="2">
        <v>45902</v>
      </c>
      <c r="B407" t="s">
        <v>39</v>
      </c>
      <c r="C407">
        <v>1.1713999509811399</v>
      </c>
      <c r="D407">
        <v>1.1717499494552599</v>
      </c>
      <c r="E407">
        <v>1.1712499856948799</v>
      </c>
      <c r="F407">
        <v>1.1713999509811399</v>
      </c>
      <c r="G407">
        <v>140</v>
      </c>
      <c r="H407">
        <v>1.17137999534606</v>
      </c>
      <c r="I407">
        <v>-2.40015983581587E-4</v>
      </c>
      <c r="J407" t="str">
        <f t="shared" si="51"/>
        <v>DOWN</v>
      </c>
      <c r="K407">
        <v>1.17441600084304</v>
      </c>
      <c r="L407" s="1">
        <v>-6.6001415252481198E-5</v>
      </c>
      <c r="M407" t="str">
        <f t="shared" si="52"/>
        <v>DOWN</v>
      </c>
      <c r="N407">
        <v>-3.0360054969789099E-3</v>
      </c>
      <c r="O407" t="str">
        <f t="shared" si="53"/>
        <v>DOWN</v>
      </c>
      <c r="P407">
        <v>43.575298817211397</v>
      </c>
      <c r="Q407">
        <v>-0.15649848552985901</v>
      </c>
      <c r="R407" t="str">
        <f t="shared" si="54"/>
        <v>DOWN</v>
      </c>
      <c r="S407">
        <v>1.17060005664825</v>
      </c>
      <c r="T407" t="str">
        <f t="shared" si="48"/>
        <v>UP</v>
      </c>
      <c r="U407">
        <v>1.17034995555877</v>
      </c>
      <c r="V407" t="str">
        <f t="shared" si="55"/>
        <v>UP</v>
      </c>
      <c r="W407">
        <v>1.1714500188827499</v>
      </c>
      <c r="X407" t="str">
        <f t="shared" si="49"/>
        <v>UP</v>
      </c>
      <c r="Y407">
        <v>1.1715500354766799</v>
      </c>
      <c r="Z407" t="str">
        <f t="shared" si="50"/>
        <v>UP</v>
      </c>
      <c r="AA407">
        <v>0</v>
      </c>
      <c r="AB407">
        <v>0</v>
      </c>
      <c r="AC407">
        <v>0</v>
      </c>
      <c r="AD407">
        <v>0</v>
      </c>
    </row>
    <row r="408" spans="1:30" hidden="1" x14ac:dyDescent="0.35">
      <c r="A408" s="2">
        <v>45902</v>
      </c>
      <c r="B408" t="s">
        <v>40</v>
      </c>
      <c r="C408">
        <v>1.1710000038146899</v>
      </c>
      <c r="D408">
        <v>1.1715500354766799</v>
      </c>
      <c r="E408">
        <v>1.1710000038146899</v>
      </c>
      <c r="F408">
        <v>1.1713500022888099</v>
      </c>
      <c r="G408">
        <v>0</v>
      </c>
      <c r="H408">
        <v>1.1712300062179499</v>
      </c>
      <c r="I408">
        <v>-1.4998912811270399E-4</v>
      </c>
      <c r="J408" t="str">
        <f t="shared" si="51"/>
        <v>DOWN</v>
      </c>
      <c r="K408">
        <v>1.17435400009155</v>
      </c>
      <c r="L408" s="1">
        <v>-6.2000751495538896E-5</v>
      </c>
      <c r="M408" t="str">
        <f t="shared" si="52"/>
        <v>DOWN</v>
      </c>
      <c r="N408">
        <v>-3.1239938735960699E-3</v>
      </c>
      <c r="O408" t="str">
        <f t="shared" si="53"/>
        <v>DOWN</v>
      </c>
      <c r="P408">
        <v>42.273892330534501</v>
      </c>
      <c r="Q408">
        <v>-1.30140648667686</v>
      </c>
      <c r="R408" t="str">
        <f t="shared" si="54"/>
        <v>DOWN</v>
      </c>
      <c r="S408">
        <v>1.1712499856948799</v>
      </c>
      <c r="T408" t="str">
        <f t="shared" si="48"/>
        <v>DOWN</v>
      </c>
      <c r="U408">
        <v>1.17060005664825</v>
      </c>
      <c r="V408" t="str">
        <f t="shared" si="55"/>
        <v>UP</v>
      </c>
      <c r="W408">
        <v>1.1717499494552599</v>
      </c>
      <c r="X408" t="str">
        <f t="shared" si="49"/>
        <v>DOWN</v>
      </c>
      <c r="Y408">
        <v>1.1714500188827499</v>
      </c>
      <c r="Z408" t="str">
        <f t="shared" si="50"/>
        <v>UP</v>
      </c>
      <c r="AA408">
        <v>0</v>
      </c>
      <c r="AB408">
        <v>0</v>
      </c>
      <c r="AC408">
        <v>0</v>
      </c>
      <c r="AD408">
        <v>0</v>
      </c>
    </row>
    <row r="409" spans="1:30" hidden="1" x14ac:dyDescent="0.35">
      <c r="A409" s="2">
        <v>45902</v>
      </c>
      <c r="B409" t="s">
        <v>42</v>
      </c>
      <c r="C409">
        <v>1.17065000534057</v>
      </c>
      <c r="D409">
        <v>1.1710499525070099</v>
      </c>
      <c r="E409">
        <v>1.17060005664825</v>
      </c>
      <c r="F409">
        <v>1.1710499525070099</v>
      </c>
      <c r="G409">
        <v>53</v>
      </c>
      <c r="H409">
        <v>1.17105000019073</v>
      </c>
      <c r="I409">
        <v>-1.8000602722167901E-4</v>
      </c>
      <c r="J409" t="str">
        <f t="shared" si="51"/>
        <v>DOWN</v>
      </c>
      <c r="K409">
        <v>1.17427599906921</v>
      </c>
      <c r="L409" s="1">
        <v>-7.8001022338902701E-5</v>
      </c>
      <c r="M409" t="str">
        <f t="shared" si="52"/>
        <v>DOWN</v>
      </c>
      <c r="N409">
        <v>-3.2259988784788499E-3</v>
      </c>
      <c r="O409" t="str">
        <f t="shared" si="53"/>
        <v>DOWN</v>
      </c>
      <c r="P409">
        <v>41.116613158200003</v>
      </c>
      <c r="Q409">
        <v>-1.1572791723345099</v>
      </c>
      <c r="R409" t="str">
        <f t="shared" si="54"/>
        <v>DOWN</v>
      </c>
      <c r="S409">
        <v>1.1710000038146899</v>
      </c>
      <c r="T409" t="str">
        <f t="shared" si="48"/>
        <v>DOWN</v>
      </c>
      <c r="U409">
        <v>1.1712499856948799</v>
      </c>
      <c r="V409" t="str">
        <f t="shared" si="55"/>
        <v>DOWN</v>
      </c>
      <c r="W409">
        <v>1.1715500354766799</v>
      </c>
      <c r="X409" t="str">
        <f t="shared" si="49"/>
        <v>DOWN</v>
      </c>
      <c r="Y409">
        <v>1.1717499494552599</v>
      </c>
      <c r="Z409" t="str">
        <f t="shared" si="50"/>
        <v>DOWN</v>
      </c>
      <c r="AA409">
        <v>0</v>
      </c>
      <c r="AB409">
        <v>0</v>
      </c>
      <c r="AC409">
        <v>0</v>
      </c>
      <c r="AD409">
        <v>0</v>
      </c>
    </row>
    <row r="410" spans="1:30" hidden="1" x14ac:dyDescent="0.35">
      <c r="A410" s="2">
        <v>45903</v>
      </c>
      <c r="B410" t="s">
        <v>29</v>
      </c>
      <c r="C410">
        <v>1.17060005664825</v>
      </c>
      <c r="D410">
        <v>1.1709500551223699</v>
      </c>
      <c r="E410">
        <v>1.17019999027252</v>
      </c>
      <c r="F410">
        <v>1.17050004005432</v>
      </c>
      <c r="G410">
        <v>56</v>
      </c>
      <c r="H410">
        <v>1.17102000713348</v>
      </c>
      <c r="I410" s="1">
        <v>-2.9993057250932099E-5</v>
      </c>
      <c r="J410" t="str">
        <f t="shared" si="51"/>
        <v>DOWN</v>
      </c>
      <c r="K410">
        <v>1.17418999910354</v>
      </c>
      <c r="L410" s="1">
        <v>-8.59999656677157E-5</v>
      </c>
      <c r="M410" t="str">
        <f t="shared" si="52"/>
        <v>DOWN</v>
      </c>
      <c r="N410">
        <v>-3.1699919700620598E-3</v>
      </c>
      <c r="O410" t="str">
        <f t="shared" si="53"/>
        <v>DOWN</v>
      </c>
      <c r="P410">
        <v>40.944345998255699</v>
      </c>
      <c r="Q410">
        <v>-0.172267159944269</v>
      </c>
      <c r="R410" t="str">
        <f t="shared" si="54"/>
        <v>DOWN</v>
      </c>
      <c r="S410">
        <v>1.17060005664825</v>
      </c>
      <c r="T410" t="str">
        <f t="shared" si="48"/>
        <v>DOWN</v>
      </c>
      <c r="U410">
        <v>1.1710000038146899</v>
      </c>
      <c r="V410" t="str">
        <f t="shared" si="55"/>
        <v>DOWN</v>
      </c>
      <c r="W410">
        <v>1.1710499525070099</v>
      </c>
      <c r="X410" t="str">
        <f t="shared" si="49"/>
        <v>DOWN</v>
      </c>
      <c r="Y410">
        <v>1.1715500354766799</v>
      </c>
      <c r="Z410" t="str">
        <f t="shared" si="50"/>
        <v>DOWN</v>
      </c>
      <c r="AA410">
        <v>0</v>
      </c>
      <c r="AB410">
        <v>0</v>
      </c>
      <c r="AC410">
        <v>0</v>
      </c>
      <c r="AD410">
        <v>0</v>
      </c>
    </row>
    <row r="411" spans="1:30" hidden="1" x14ac:dyDescent="0.35">
      <c r="A411" s="2">
        <v>45903</v>
      </c>
      <c r="B411" t="s">
        <v>30</v>
      </c>
      <c r="C411">
        <v>1.17025005817413</v>
      </c>
      <c r="D411">
        <v>1.17069995403289</v>
      </c>
      <c r="E411">
        <v>1.16989994049072</v>
      </c>
      <c r="F411">
        <v>1.17069995403289</v>
      </c>
      <c r="G411">
        <v>147</v>
      </c>
      <c r="H411">
        <v>1.17078001499176</v>
      </c>
      <c r="I411">
        <v>-2.3999214172376601E-4</v>
      </c>
      <c r="J411" t="str">
        <f t="shared" si="51"/>
        <v>DOWN</v>
      </c>
      <c r="K411">
        <v>1.1741000008583</v>
      </c>
      <c r="L411" s="1">
        <v>-8.9998245239142295E-5</v>
      </c>
      <c r="M411" t="str">
        <f t="shared" si="52"/>
        <v>DOWN</v>
      </c>
      <c r="N411">
        <v>-3.31998586654669E-3</v>
      </c>
      <c r="O411" t="str">
        <f t="shared" si="53"/>
        <v>DOWN</v>
      </c>
      <c r="P411">
        <v>39.689508208291898</v>
      </c>
      <c r="Q411">
        <v>-1.2548377899637999</v>
      </c>
      <c r="R411" t="str">
        <f t="shared" si="54"/>
        <v>DOWN</v>
      </c>
      <c r="S411">
        <v>1.17019999027252</v>
      </c>
      <c r="T411" t="str">
        <f t="shared" si="48"/>
        <v>DOWN</v>
      </c>
      <c r="U411">
        <v>1.17060005664825</v>
      </c>
      <c r="V411" t="str">
        <f t="shared" si="55"/>
        <v>DOWN</v>
      </c>
      <c r="W411">
        <v>1.1709500551223699</v>
      </c>
      <c r="X411" t="str">
        <f t="shared" si="49"/>
        <v>DOWN</v>
      </c>
      <c r="Y411">
        <v>1.1710499525070099</v>
      </c>
      <c r="Z411" t="str">
        <f t="shared" si="50"/>
        <v>DOWN</v>
      </c>
      <c r="AA411">
        <v>0</v>
      </c>
      <c r="AB411">
        <v>0</v>
      </c>
      <c r="AC411">
        <v>0</v>
      </c>
      <c r="AD411">
        <v>0</v>
      </c>
    </row>
    <row r="412" spans="1:30" hidden="1" x14ac:dyDescent="0.35">
      <c r="A412" s="2">
        <v>45903</v>
      </c>
      <c r="B412" t="s">
        <v>31</v>
      </c>
      <c r="C412">
        <v>1.16999995708465</v>
      </c>
      <c r="D412">
        <v>1.1707999706268299</v>
      </c>
      <c r="E412">
        <v>1.16974997520446</v>
      </c>
      <c r="F412">
        <v>1.17030000686645</v>
      </c>
      <c r="G412">
        <v>91</v>
      </c>
      <c r="H412">
        <v>1.1705000162124599</v>
      </c>
      <c r="I412">
        <v>-2.7999877929674101E-4</v>
      </c>
      <c r="J412" t="str">
        <f t="shared" si="51"/>
        <v>DOWN</v>
      </c>
      <c r="K412">
        <v>1.17400300025939</v>
      </c>
      <c r="L412" s="1">
        <v>-9.7000598907381804E-5</v>
      </c>
      <c r="M412" t="str">
        <f t="shared" si="52"/>
        <v>DOWN</v>
      </c>
      <c r="N412">
        <v>-3.5029840469360499E-3</v>
      </c>
      <c r="O412" t="str">
        <f t="shared" si="53"/>
        <v>DOWN</v>
      </c>
      <c r="P412">
        <v>38.775016529132202</v>
      </c>
      <c r="Q412">
        <v>-0.914491679159667</v>
      </c>
      <c r="R412" t="str">
        <f t="shared" si="54"/>
        <v>DOWN</v>
      </c>
      <c r="S412">
        <v>1.16989994049072</v>
      </c>
      <c r="T412" t="str">
        <f t="shared" si="48"/>
        <v>DOWN</v>
      </c>
      <c r="U412">
        <v>1.17019999027252</v>
      </c>
      <c r="V412" t="str">
        <f t="shared" si="55"/>
        <v>DOWN</v>
      </c>
      <c r="W412">
        <v>1.17069995403289</v>
      </c>
      <c r="X412" t="str">
        <f t="shared" si="49"/>
        <v>UP</v>
      </c>
      <c r="Y412">
        <v>1.1709500551223699</v>
      </c>
      <c r="Z412" t="str">
        <f t="shared" si="50"/>
        <v>DOWN</v>
      </c>
      <c r="AA412">
        <v>0</v>
      </c>
      <c r="AB412">
        <v>0</v>
      </c>
      <c r="AC412">
        <v>0</v>
      </c>
      <c r="AD412">
        <v>0</v>
      </c>
    </row>
    <row r="413" spans="1:30" hidden="1" x14ac:dyDescent="0.35">
      <c r="A413" s="2">
        <v>45903</v>
      </c>
      <c r="B413" t="s">
        <v>32</v>
      </c>
      <c r="C413">
        <v>1.16964995861053</v>
      </c>
      <c r="D413">
        <v>1.17030000686645</v>
      </c>
      <c r="E413">
        <v>1.16964995861053</v>
      </c>
      <c r="F413">
        <v>1.17030000686645</v>
      </c>
      <c r="G413">
        <v>56</v>
      </c>
      <c r="H413">
        <v>1.1702300071716301</v>
      </c>
      <c r="I413">
        <v>-2.7000904083251899E-4</v>
      </c>
      <c r="J413" t="str">
        <f t="shared" si="51"/>
        <v>DOWN</v>
      </c>
      <c r="K413">
        <v>1.17386399984359</v>
      </c>
      <c r="L413">
        <v>-1.3900041580217E-4</v>
      </c>
      <c r="M413" t="str">
        <f t="shared" si="52"/>
        <v>DOWN</v>
      </c>
      <c r="N413">
        <v>-3.6339926719664E-3</v>
      </c>
      <c r="O413" t="str">
        <f t="shared" si="53"/>
        <v>DOWN</v>
      </c>
      <c r="P413">
        <v>37.473749457285898</v>
      </c>
      <c r="Q413">
        <v>-1.3012670718463499</v>
      </c>
      <c r="R413" t="str">
        <f t="shared" si="54"/>
        <v>DOWN</v>
      </c>
      <c r="S413">
        <v>1.16974997520446</v>
      </c>
      <c r="T413" t="str">
        <f t="shared" si="48"/>
        <v>DOWN</v>
      </c>
      <c r="U413">
        <v>1.16989994049072</v>
      </c>
      <c r="V413" t="str">
        <f t="shared" si="55"/>
        <v>DOWN</v>
      </c>
      <c r="W413">
        <v>1.1707999706268299</v>
      </c>
      <c r="X413" t="str">
        <f t="shared" si="49"/>
        <v>DOWN</v>
      </c>
      <c r="Y413">
        <v>1.17069995403289</v>
      </c>
      <c r="Z413" t="str">
        <f t="shared" si="50"/>
        <v>DOWN</v>
      </c>
      <c r="AA413">
        <v>0</v>
      </c>
      <c r="AB413">
        <v>0</v>
      </c>
      <c r="AC413">
        <v>0</v>
      </c>
      <c r="AD413">
        <v>0</v>
      </c>
    </row>
    <row r="414" spans="1:30" hidden="1" x14ac:dyDescent="0.35">
      <c r="A414" s="2">
        <v>45903</v>
      </c>
      <c r="B414" t="s">
        <v>33</v>
      </c>
      <c r="C414">
        <v>1.17044997215271</v>
      </c>
      <c r="D414">
        <v>1.17044997215271</v>
      </c>
      <c r="E414">
        <v>1.16989994049072</v>
      </c>
      <c r="F414">
        <v>1.16989994049072</v>
      </c>
      <c r="G414">
        <v>28</v>
      </c>
      <c r="H414">
        <v>1.17019000053405</v>
      </c>
      <c r="I414" s="1">
        <v>-4.0006637573419803E-5</v>
      </c>
      <c r="J414" t="str">
        <f t="shared" si="51"/>
        <v>DOWN</v>
      </c>
      <c r="K414">
        <v>1.1737439990043601</v>
      </c>
      <c r="L414">
        <v>-1.20000839233247E-4</v>
      </c>
      <c r="M414" t="str">
        <f t="shared" si="52"/>
        <v>DOWN</v>
      </c>
      <c r="N414">
        <v>-3.5539984703065698E-3</v>
      </c>
      <c r="O414" t="str">
        <f t="shared" si="53"/>
        <v>DOWN</v>
      </c>
      <c r="P414">
        <v>42.244875034471399</v>
      </c>
      <c r="Q414">
        <v>4.7711255771854999</v>
      </c>
      <c r="R414" t="str">
        <f t="shared" si="54"/>
        <v>UP</v>
      </c>
      <c r="S414">
        <v>1.16964995861053</v>
      </c>
      <c r="T414" t="str">
        <f t="shared" si="48"/>
        <v>UP</v>
      </c>
      <c r="U414">
        <v>1.16974997520446</v>
      </c>
      <c r="V414" t="str">
        <f t="shared" si="55"/>
        <v>UP</v>
      </c>
      <c r="W414">
        <v>1.17030000686645</v>
      </c>
      <c r="X414" t="str">
        <f t="shared" si="49"/>
        <v>UP</v>
      </c>
      <c r="Y414">
        <v>1.1707999706268299</v>
      </c>
      <c r="Z414" t="str">
        <f t="shared" si="50"/>
        <v>DOWN</v>
      </c>
      <c r="AA414">
        <v>0</v>
      </c>
      <c r="AB414">
        <v>0</v>
      </c>
      <c r="AC414">
        <v>0</v>
      </c>
      <c r="AD414">
        <v>0</v>
      </c>
    </row>
    <row r="415" spans="1:30" hidden="1" x14ac:dyDescent="0.35">
      <c r="A415" s="2">
        <v>45903</v>
      </c>
      <c r="B415" t="s">
        <v>41</v>
      </c>
      <c r="C415">
        <v>1.17009997367858</v>
      </c>
      <c r="D415">
        <v>1.1707500219345</v>
      </c>
      <c r="E415">
        <v>1.16995000839233</v>
      </c>
      <c r="F415">
        <v>1.17040002346038</v>
      </c>
      <c r="G415">
        <v>72</v>
      </c>
      <c r="H415">
        <v>1.17008998394012</v>
      </c>
      <c r="I415">
        <v>-1.0001659393310499E-4</v>
      </c>
      <c r="J415" t="str">
        <f t="shared" si="51"/>
        <v>DOWN</v>
      </c>
      <c r="K415">
        <v>1.17361499786376</v>
      </c>
      <c r="L415">
        <v>-1.2900114059455299E-4</v>
      </c>
      <c r="M415" t="str">
        <f t="shared" si="52"/>
        <v>DOWN</v>
      </c>
      <c r="N415">
        <v>-3.52501392364512E-3</v>
      </c>
      <c r="O415" t="str">
        <f t="shared" si="53"/>
        <v>DOWN</v>
      </c>
      <c r="P415">
        <v>40.778831933784403</v>
      </c>
      <c r="Q415">
        <v>-1.4660431006870001</v>
      </c>
      <c r="R415" t="str">
        <f t="shared" si="54"/>
        <v>DOWN</v>
      </c>
      <c r="S415">
        <v>1.16989994049072</v>
      </c>
      <c r="T415" t="str">
        <f t="shared" si="48"/>
        <v>UP</v>
      </c>
      <c r="U415">
        <v>1.16964995861053</v>
      </c>
      <c r="V415" t="str">
        <f t="shared" si="55"/>
        <v>UP</v>
      </c>
      <c r="W415">
        <v>1.17044997215271</v>
      </c>
      <c r="X415" t="str">
        <f t="shared" si="49"/>
        <v>UP</v>
      </c>
      <c r="Y415">
        <v>1.17030000686645</v>
      </c>
      <c r="Z415" t="str">
        <f t="shared" si="50"/>
        <v>UP</v>
      </c>
      <c r="AA415">
        <v>0</v>
      </c>
      <c r="AB415">
        <v>0</v>
      </c>
      <c r="AC415">
        <v>0</v>
      </c>
      <c r="AD415">
        <v>0</v>
      </c>
    </row>
    <row r="416" spans="1:30" hidden="1" x14ac:dyDescent="0.35">
      <c r="A416" s="2">
        <v>45903</v>
      </c>
      <c r="B416" t="s">
        <v>34</v>
      </c>
      <c r="C416">
        <v>1.17060005664825</v>
      </c>
      <c r="D416">
        <v>1.1715500354766799</v>
      </c>
      <c r="E416">
        <v>1.17019999027252</v>
      </c>
      <c r="F416">
        <v>1.17019999027252</v>
      </c>
      <c r="G416">
        <v>237</v>
      </c>
      <c r="H416">
        <v>1.1701599836349399</v>
      </c>
      <c r="I416" s="1">
        <v>6.9999694824351895E-5</v>
      </c>
      <c r="J416" t="str">
        <f t="shared" si="51"/>
        <v>UP</v>
      </c>
      <c r="K416">
        <v>1.17350099802017</v>
      </c>
      <c r="L416">
        <v>-1.1399984359750001E-4</v>
      </c>
      <c r="M416" t="str">
        <f t="shared" si="52"/>
        <v>DOWN</v>
      </c>
      <c r="N416">
        <v>-3.3410143852232702E-3</v>
      </c>
      <c r="O416" t="str">
        <f t="shared" si="53"/>
        <v>DOWN</v>
      </c>
      <c r="P416">
        <v>43.780878082452404</v>
      </c>
      <c r="Q416">
        <v>3.0020461486680601</v>
      </c>
      <c r="R416" t="str">
        <f t="shared" si="54"/>
        <v>UP</v>
      </c>
      <c r="S416">
        <v>1.16995000839233</v>
      </c>
      <c r="T416" t="str">
        <f t="shared" si="48"/>
        <v>UP</v>
      </c>
      <c r="U416">
        <v>1.16989994049072</v>
      </c>
      <c r="V416" t="str">
        <f t="shared" si="55"/>
        <v>UP</v>
      </c>
      <c r="W416">
        <v>1.1707500219345</v>
      </c>
      <c r="X416" t="str">
        <f t="shared" si="49"/>
        <v>UP</v>
      </c>
      <c r="Y416">
        <v>1.17044997215271</v>
      </c>
      <c r="Z416" t="str">
        <f t="shared" si="50"/>
        <v>UP</v>
      </c>
      <c r="AA416">
        <v>0</v>
      </c>
      <c r="AB416">
        <v>0</v>
      </c>
      <c r="AC416">
        <v>0</v>
      </c>
      <c r="AD416">
        <v>0</v>
      </c>
    </row>
    <row r="417" spans="1:30" hidden="1" x14ac:dyDescent="0.35">
      <c r="A417" s="2">
        <v>45903</v>
      </c>
      <c r="B417" t="s">
        <v>35</v>
      </c>
      <c r="C417">
        <v>1.1707500219345</v>
      </c>
      <c r="D417">
        <v>1.1708500385284399</v>
      </c>
      <c r="E417">
        <v>1.1683000326156601</v>
      </c>
      <c r="F417">
        <v>1.17065000534057</v>
      </c>
      <c r="G417">
        <v>340</v>
      </c>
      <c r="H417">
        <v>1.17030999660491</v>
      </c>
      <c r="I417">
        <v>1.5001296997074699E-4</v>
      </c>
      <c r="J417" t="str">
        <f t="shared" si="51"/>
        <v>UP</v>
      </c>
      <c r="K417">
        <v>1.1734059977531399</v>
      </c>
      <c r="L417" s="1">
        <v>-9.5000267028799698E-5</v>
      </c>
      <c r="M417" t="str">
        <f t="shared" si="52"/>
        <v>DOWN</v>
      </c>
      <c r="N417">
        <v>-3.0960011482237199E-3</v>
      </c>
      <c r="O417" t="str">
        <f t="shared" si="53"/>
        <v>DOWN</v>
      </c>
      <c r="P417">
        <v>44.686413770597603</v>
      </c>
      <c r="Q417">
        <v>0.90553568814514995</v>
      </c>
      <c r="R417" t="str">
        <f t="shared" si="54"/>
        <v>UP</v>
      </c>
      <c r="S417">
        <v>1.17019999027252</v>
      </c>
      <c r="T417" t="str">
        <f t="shared" si="48"/>
        <v>DOWN</v>
      </c>
      <c r="U417">
        <v>1.16995000839233</v>
      </c>
      <c r="V417" t="str">
        <f t="shared" si="55"/>
        <v>DOWN</v>
      </c>
      <c r="W417">
        <v>1.1715500354766799</v>
      </c>
      <c r="X417" t="str">
        <f t="shared" si="49"/>
        <v>DOWN</v>
      </c>
      <c r="Y417">
        <v>1.1707500219345</v>
      </c>
      <c r="Z417" t="str">
        <f t="shared" si="50"/>
        <v>UP</v>
      </c>
      <c r="AA417">
        <v>0</v>
      </c>
      <c r="AB417">
        <v>1</v>
      </c>
      <c r="AC417">
        <v>0</v>
      </c>
      <c r="AD417">
        <v>0</v>
      </c>
    </row>
    <row r="418" spans="1:30" hidden="1" x14ac:dyDescent="0.35">
      <c r="A418" s="2">
        <v>45903</v>
      </c>
      <c r="B418" t="s">
        <v>36</v>
      </c>
      <c r="C418">
        <v>1.1729500293731601</v>
      </c>
      <c r="D418">
        <v>1.1729999780654901</v>
      </c>
      <c r="E418">
        <v>1.1710000038146899</v>
      </c>
      <c r="F418">
        <v>1.1710000038146899</v>
      </c>
      <c r="G418">
        <v>264</v>
      </c>
      <c r="H418">
        <v>1.1709700107574399</v>
      </c>
      <c r="I418">
        <v>6.6001415252681095E-4</v>
      </c>
      <c r="J418" t="str">
        <f t="shared" si="51"/>
        <v>UP</v>
      </c>
      <c r="K418">
        <v>1.1733649992942801</v>
      </c>
      <c r="L418" s="1">
        <v>-4.0998458862295799E-5</v>
      </c>
      <c r="M418" t="str">
        <f t="shared" si="52"/>
        <v>DOWN</v>
      </c>
      <c r="N418">
        <v>-2.39498853683461E-3</v>
      </c>
      <c r="O418" t="str">
        <f t="shared" si="53"/>
        <v>DOWN</v>
      </c>
      <c r="P418">
        <v>55.906870361974697</v>
      </c>
      <c r="Q418">
        <v>11.220456591377101</v>
      </c>
      <c r="R418" t="str">
        <f t="shared" si="54"/>
        <v>UP</v>
      </c>
      <c r="S418">
        <v>1.1683000326156601</v>
      </c>
      <c r="T418" t="str">
        <f t="shared" si="48"/>
        <v>UP</v>
      </c>
      <c r="U418">
        <v>1.17019999027252</v>
      </c>
      <c r="V418" t="str">
        <f t="shared" si="55"/>
        <v>UP</v>
      </c>
      <c r="W418">
        <v>1.1708500385284399</v>
      </c>
      <c r="X418" t="str">
        <f t="shared" si="49"/>
        <v>UP</v>
      </c>
      <c r="Y418">
        <v>1.1715500354766799</v>
      </c>
      <c r="Z418" t="str">
        <f t="shared" si="50"/>
        <v>UP</v>
      </c>
      <c r="AA418">
        <v>0</v>
      </c>
      <c r="AB418">
        <v>0</v>
      </c>
      <c r="AC418">
        <v>0</v>
      </c>
      <c r="AD418">
        <v>0</v>
      </c>
    </row>
    <row r="419" spans="1:30" hidden="1" x14ac:dyDescent="0.35">
      <c r="A419" s="2">
        <v>45903</v>
      </c>
      <c r="B419" t="s">
        <v>37</v>
      </c>
      <c r="C419">
        <v>1.1729500293731601</v>
      </c>
      <c r="D419">
        <v>1.17375004291534</v>
      </c>
      <c r="E419">
        <v>1.1726499795913601</v>
      </c>
      <c r="F419">
        <v>1.1730500459671001</v>
      </c>
      <c r="G419">
        <v>1019</v>
      </c>
      <c r="H419">
        <v>1.17147002220153</v>
      </c>
      <c r="I419">
        <v>5.0001144409184096E-4</v>
      </c>
      <c r="J419" t="str">
        <f t="shared" si="51"/>
        <v>UP</v>
      </c>
      <c r="K419">
        <v>1.17331799983978</v>
      </c>
      <c r="L419" s="1">
        <v>-4.6999454498264303E-5</v>
      </c>
      <c r="M419" t="str">
        <f t="shared" si="52"/>
        <v>DOWN</v>
      </c>
      <c r="N419">
        <v>-1.84797763824451E-3</v>
      </c>
      <c r="O419" t="str">
        <f t="shared" si="53"/>
        <v>DOWN</v>
      </c>
      <c r="P419">
        <v>55.906870361974697</v>
      </c>
      <c r="Q419" s="1">
        <v>7.1054273576010003E-15</v>
      </c>
      <c r="R419" t="str">
        <f t="shared" si="54"/>
        <v>UP</v>
      </c>
      <c r="S419">
        <v>1.1710000038146899</v>
      </c>
      <c r="T419" t="str">
        <f t="shared" si="48"/>
        <v>UP</v>
      </c>
      <c r="U419">
        <v>1.1683000326156601</v>
      </c>
      <c r="V419" t="str">
        <f t="shared" si="55"/>
        <v>UP</v>
      </c>
      <c r="W419">
        <v>1.1729999780654901</v>
      </c>
      <c r="X419" t="str">
        <f t="shared" si="49"/>
        <v>UP</v>
      </c>
      <c r="Y419">
        <v>1.1708500385284399</v>
      </c>
      <c r="Z419" t="str">
        <f t="shared" si="50"/>
        <v>UP</v>
      </c>
      <c r="AA419">
        <v>0</v>
      </c>
      <c r="AB419">
        <v>0</v>
      </c>
      <c r="AC419">
        <v>0</v>
      </c>
      <c r="AD419">
        <v>0</v>
      </c>
    </row>
    <row r="420" spans="1:30" hidden="1" x14ac:dyDescent="0.35">
      <c r="A420" s="2">
        <v>45903</v>
      </c>
      <c r="B420" t="s">
        <v>20</v>
      </c>
      <c r="C420">
        <v>1.1717000007629299</v>
      </c>
      <c r="D420">
        <v>1.1730500459671001</v>
      </c>
      <c r="E420">
        <v>1.1713000535964899</v>
      </c>
      <c r="F420">
        <v>1.1728500127792301</v>
      </c>
      <c r="G420">
        <v>269</v>
      </c>
      <c r="H420">
        <v>1.1717900276183999</v>
      </c>
      <c r="I420">
        <v>3.2000541686993901E-4</v>
      </c>
      <c r="J420" t="str">
        <f t="shared" si="51"/>
        <v>UP</v>
      </c>
      <c r="K420">
        <v>1.1732360005378699</v>
      </c>
      <c r="L420" s="1">
        <v>-8.1999301910329296E-5</v>
      </c>
      <c r="M420" t="str">
        <f t="shared" si="52"/>
        <v>DOWN</v>
      </c>
      <c r="N420">
        <v>-1.44597291946424E-3</v>
      </c>
      <c r="O420" t="str">
        <f t="shared" si="53"/>
        <v>DOWN</v>
      </c>
      <c r="P420">
        <v>49.3148090275523</v>
      </c>
      <c r="Q420">
        <v>-6.5920613344224597</v>
      </c>
      <c r="R420" t="str">
        <f t="shared" si="54"/>
        <v>DOWN</v>
      </c>
      <c r="S420">
        <v>1.1726499795913601</v>
      </c>
      <c r="T420" t="str">
        <f t="shared" si="48"/>
        <v>DOWN</v>
      </c>
      <c r="U420">
        <v>1.1710000038146899</v>
      </c>
      <c r="V420" t="str">
        <f t="shared" si="55"/>
        <v>UP</v>
      </c>
      <c r="W420">
        <v>1.17375004291534</v>
      </c>
      <c r="X420" t="str">
        <f t="shared" si="49"/>
        <v>DOWN</v>
      </c>
      <c r="Y420">
        <v>1.1729999780654901</v>
      </c>
      <c r="Z420" t="str">
        <f t="shared" si="50"/>
        <v>UP</v>
      </c>
      <c r="AA420">
        <v>0</v>
      </c>
      <c r="AB420">
        <v>0</v>
      </c>
      <c r="AC420">
        <v>0</v>
      </c>
      <c r="AD420">
        <v>0</v>
      </c>
    </row>
    <row r="421" spans="1:30" hidden="1" x14ac:dyDescent="0.35">
      <c r="A421" s="2">
        <v>45903</v>
      </c>
      <c r="B421" t="s">
        <v>21</v>
      </c>
      <c r="C421">
        <v>1.1723999977111801</v>
      </c>
      <c r="D421">
        <v>1.1727000474929801</v>
      </c>
      <c r="E421">
        <v>1.1713999509811399</v>
      </c>
      <c r="F421">
        <v>1.1717499494552599</v>
      </c>
      <c r="G421">
        <v>1481</v>
      </c>
      <c r="H421">
        <v>1.1721500158309901</v>
      </c>
      <c r="I421">
        <v>3.5998821258553798E-4</v>
      </c>
      <c r="J421" t="str">
        <f t="shared" si="51"/>
        <v>UP</v>
      </c>
      <c r="K421">
        <v>1.17321500062942</v>
      </c>
      <c r="L421" s="1">
        <v>-2.09999084472833E-5</v>
      </c>
      <c r="M421" t="str">
        <f t="shared" si="52"/>
        <v>DOWN</v>
      </c>
      <c r="N421">
        <v>-1.0649847984314201E-3</v>
      </c>
      <c r="O421" t="str">
        <f t="shared" si="53"/>
        <v>DOWN</v>
      </c>
      <c r="P421">
        <v>52.6796524565911</v>
      </c>
      <c r="Q421">
        <v>3.3648434290388201</v>
      </c>
      <c r="R421" t="str">
        <f t="shared" si="54"/>
        <v>UP</v>
      </c>
      <c r="S421">
        <v>1.1713000535964899</v>
      </c>
      <c r="T421" t="str">
        <f t="shared" si="48"/>
        <v>UP</v>
      </c>
      <c r="U421">
        <v>1.1726499795913601</v>
      </c>
      <c r="V421" t="str">
        <f t="shared" si="55"/>
        <v>DOWN</v>
      </c>
      <c r="W421">
        <v>1.1730500459671001</v>
      </c>
      <c r="X421" t="str">
        <f t="shared" si="49"/>
        <v>DOWN</v>
      </c>
      <c r="Y421">
        <v>1.17375004291534</v>
      </c>
      <c r="Z421" t="str">
        <f t="shared" si="50"/>
        <v>DOWN</v>
      </c>
      <c r="AA421">
        <v>0</v>
      </c>
      <c r="AB421">
        <v>0</v>
      </c>
      <c r="AC421">
        <v>0</v>
      </c>
      <c r="AD421">
        <v>0</v>
      </c>
    </row>
    <row r="422" spans="1:30" hidden="1" x14ac:dyDescent="0.35">
      <c r="A422" s="2">
        <v>45903</v>
      </c>
      <c r="B422" t="s">
        <v>22</v>
      </c>
      <c r="C422">
        <v>1.1720999479293801</v>
      </c>
      <c r="D422">
        <v>1.1732000112533501</v>
      </c>
      <c r="E422">
        <v>1.1718000173568699</v>
      </c>
      <c r="F422">
        <v>1.1725000143051101</v>
      </c>
      <c r="G422">
        <v>305</v>
      </c>
      <c r="H422">
        <v>1.1724200010299599</v>
      </c>
      <c r="I422">
        <v>2.6998519897469798E-4</v>
      </c>
      <c r="J422" t="str">
        <f t="shared" si="51"/>
        <v>UP</v>
      </c>
      <c r="K422">
        <v>1.17318500041961</v>
      </c>
      <c r="L422" s="1">
        <v>-3.0000209808367298E-5</v>
      </c>
      <c r="M422" t="str">
        <f t="shared" si="52"/>
        <v>DOWN</v>
      </c>
      <c r="N422">
        <v>-7.6499938964835702E-4</v>
      </c>
      <c r="O422" t="str">
        <f t="shared" si="53"/>
        <v>DOWN</v>
      </c>
      <c r="P422">
        <v>51.113264816578301</v>
      </c>
      <c r="Q422">
        <v>-1.5663876400127901</v>
      </c>
      <c r="R422" t="str">
        <f t="shared" si="54"/>
        <v>DOWN</v>
      </c>
      <c r="S422">
        <v>1.1713999509811399</v>
      </c>
      <c r="T422" t="str">
        <f t="shared" si="48"/>
        <v>UP</v>
      </c>
      <c r="U422">
        <v>1.1713000535964899</v>
      </c>
      <c r="V422" t="str">
        <f t="shared" si="55"/>
        <v>UP</v>
      </c>
      <c r="W422">
        <v>1.1727000474929801</v>
      </c>
      <c r="X422" t="str">
        <f t="shared" si="49"/>
        <v>UP</v>
      </c>
      <c r="Y422">
        <v>1.1730500459671001</v>
      </c>
      <c r="Z422" t="str">
        <f t="shared" si="50"/>
        <v>UP</v>
      </c>
      <c r="AA422">
        <v>0</v>
      </c>
      <c r="AB422">
        <v>0</v>
      </c>
      <c r="AC422">
        <v>0</v>
      </c>
      <c r="AD422">
        <v>0</v>
      </c>
    </row>
    <row r="423" spans="1:30" hidden="1" x14ac:dyDescent="0.35">
      <c r="A423" s="2">
        <v>45903</v>
      </c>
      <c r="B423" t="s">
        <v>23</v>
      </c>
      <c r="C423">
        <v>1.1723500490188501</v>
      </c>
      <c r="D423">
        <v>1.1727000474929801</v>
      </c>
      <c r="E423">
        <v>1.1711499691009499</v>
      </c>
      <c r="F423">
        <v>1.1722500324249201</v>
      </c>
      <c r="G423">
        <v>14404</v>
      </c>
      <c r="H423">
        <v>1.1723000049590999</v>
      </c>
      <c r="I423">
        <v>-1.19996070861994E-4</v>
      </c>
      <c r="J423" t="str">
        <f t="shared" si="51"/>
        <v>DOWN</v>
      </c>
      <c r="K423">
        <v>1.1731520009040799</v>
      </c>
      <c r="L423" s="1">
        <v>-3.2999515533482698E-5</v>
      </c>
      <c r="M423" t="str">
        <f t="shared" si="52"/>
        <v>DOWN</v>
      </c>
      <c r="N423">
        <v>-8.5199594497686795E-4</v>
      </c>
      <c r="O423" t="str">
        <f t="shared" si="53"/>
        <v>DOWN</v>
      </c>
      <c r="P423">
        <v>52.384174292896397</v>
      </c>
      <c r="Q423">
        <v>1.2709094763180599</v>
      </c>
      <c r="R423" t="str">
        <f t="shared" si="54"/>
        <v>UP</v>
      </c>
      <c r="S423">
        <v>1.1718000173568699</v>
      </c>
      <c r="T423" t="str">
        <f t="shared" si="48"/>
        <v>DOWN</v>
      </c>
      <c r="U423">
        <v>1.1713999509811399</v>
      </c>
      <c r="V423" t="str">
        <f t="shared" si="55"/>
        <v>DOWN</v>
      </c>
      <c r="W423">
        <v>1.1732000112533501</v>
      </c>
      <c r="X423" t="str">
        <f t="shared" si="49"/>
        <v>DOWN</v>
      </c>
      <c r="Y423">
        <v>1.1727000474929801</v>
      </c>
      <c r="Z423" t="str">
        <f t="shared" si="50"/>
        <v>DOWN</v>
      </c>
      <c r="AA423">
        <v>0</v>
      </c>
      <c r="AB423">
        <v>0</v>
      </c>
      <c r="AC423">
        <v>0</v>
      </c>
      <c r="AD423">
        <v>0</v>
      </c>
    </row>
    <row r="424" spans="1:30" hidden="1" x14ac:dyDescent="0.35">
      <c r="A424" s="2">
        <v>45903</v>
      </c>
      <c r="B424" t="s">
        <v>24</v>
      </c>
      <c r="C424">
        <v>1.17369997501373</v>
      </c>
      <c r="D424">
        <v>1.1752500534057599</v>
      </c>
      <c r="E424">
        <v>1.1727499961853001</v>
      </c>
      <c r="F424">
        <v>1.1727499961853001</v>
      </c>
      <c r="G424">
        <v>5597</v>
      </c>
      <c r="H424">
        <v>1.17244999408721</v>
      </c>
      <c r="I424">
        <v>1.4998912811292601E-4</v>
      </c>
      <c r="J424" t="str">
        <f t="shared" si="51"/>
        <v>UP</v>
      </c>
      <c r="K424">
        <v>1.1731450009346001</v>
      </c>
      <c r="L424" s="1">
        <v>-6.9999694825018102E-6</v>
      </c>
      <c r="M424" t="str">
        <f t="shared" si="52"/>
        <v>DOWN</v>
      </c>
      <c r="N424">
        <v>-6.9500684738144005E-4</v>
      </c>
      <c r="O424" t="str">
        <f t="shared" si="53"/>
        <v>DOWN</v>
      </c>
      <c r="P424">
        <v>58.634978526877497</v>
      </c>
      <c r="Q424">
        <v>6.2508042339810999</v>
      </c>
      <c r="R424" t="str">
        <f t="shared" si="54"/>
        <v>UP</v>
      </c>
      <c r="S424">
        <v>1.1711499691009499</v>
      </c>
      <c r="T424" t="str">
        <f t="shared" si="48"/>
        <v>UP</v>
      </c>
      <c r="U424">
        <v>1.1718000173568699</v>
      </c>
      <c r="V424" t="str">
        <f t="shared" si="55"/>
        <v>UP</v>
      </c>
      <c r="W424">
        <v>1.1727000474929801</v>
      </c>
      <c r="X424" t="str">
        <f t="shared" si="49"/>
        <v>UP</v>
      </c>
      <c r="Y424">
        <v>1.1732000112533501</v>
      </c>
      <c r="Z424" t="str">
        <f t="shared" si="50"/>
        <v>UP</v>
      </c>
      <c r="AA424">
        <v>0</v>
      </c>
      <c r="AB424">
        <v>0</v>
      </c>
      <c r="AC424">
        <v>0</v>
      </c>
      <c r="AD424">
        <v>0</v>
      </c>
    </row>
    <row r="425" spans="1:30" hidden="1" x14ac:dyDescent="0.35">
      <c r="A425" s="2">
        <v>45903</v>
      </c>
      <c r="B425" t="s">
        <v>25</v>
      </c>
      <c r="C425">
        <v>1.17470002174377</v>
      </c>
      <c r="D425">
        <v>1.1755000352859399</v>
      </c>
      <c r="E425">
        <v>1.17359995841979</v>
      </c>
      <c r="F425">
        <v>1.17365002632141</v>
      </c>
      <c r="G425">
        <v>4286</v>
      </c>
      <c r="H425">
        <v>1.17304999828338</v>
      </c>
      <c r="I425">
        <v>6.0000419616690304E-4</v>
      </c>
      <c r="J425" t="str">
        <f t="shared" si="51"/>
        <v>UP</v>
      </c>
      <c r="K425">
        <v>1.17315400123596</v>
      </c>
      <c r="L425" s="1">
        <v>9.0003013610839793E-6</v>
      </c>
      <c r="M425" t="str">
        <f t="shared" si="52"/>
        <v>UP</v>
      </c>
      <c r="N425">
        <v>-1.04002952575621E-4</v>
      </c>
      <c r="O425" t="str">
        <f t="shared" si="53"/>
        <v>DOWN</v>
      </c>
      <c r="P425">
        <v>62.556511726987502</v>
      </c>
      <c r="Q425">
        <v>3.9215332001100598</v>
      </c>
      <c r="R425" t="str">
        <f t="shared" si="54"/>
        <v>UP</v>
      </c>
      <c r="S425">
        <v>1.1727499961853001</v>
      </c>
      <c r="T425" t="str">
        <f t="shared" si="48"/>
        <v>UP</v>
      </c>
      <c r="U425">
        <v>1.1711499691009499</v>
      </c>
      <c r="V425" t="str">
        <f t="shared" si="55"/>
        <v>UP</v>
      </c>
      <c r="W425">
        <v>1.1752500534057599</v>
      </c>
      <c r="X425" t="str">
        <f t="shared" si="49"/>
        <v>UP</v>
      </c>
      <c r="Y425">
        <v>1.1727000474929801</v>
      </c>
      <c r="Z425" t="str">
        <f t="shared" si="50"/>
        <v>UP</v>
      </c>
      <c r="AA425">
        <v>1</v>
      </c>
      <c r="AB425">
        <v>0</v>
      </c>
      <c r="AC425">
        <v>0</v>
      </c>
      <c r="AD425">
        <v>0</v>
      </c>
    </row>
    <row r="426" spans="1:30" hidden="1" x14ac:dyDescent="0.35">
      <c r="A426" s="2">
        <v>45903</v>
      </c>
      <c r="B426" t="s">
        <v>26</v>
      </c>
      <c r="C426">
        <v>1.17484998703002</v>
      </c>
      <c r="D426">
        <v>1.17495000362396</v>
      </c>
      <c r="E426">
        <v>1.17400002479553</v>
      </c>
      <c r="F426">
        <v>1.17470002174377</v>
      </c>
      <c r="G426">
        <v>174</v>
      </c>
      <c r="H426">
        <v>1.17353999614715</v>
      </c>
      <c r="I426">
        <v>4.8999786376957501E-4</v>
      </c>
      <c r="J426" t="str">
        <f t="shared" si="51"/>
        <v>UP</v>
      </c>
      <c r="K426">
        <v>1.1731610012054401</v>
      </c>
      <c r="L426" s="1">
        <v>6.9999694825018102E-6</v>
      </c>
      <c r="M426" t="str">
        <f t="shared" si="52"/>
        <v>UP</v>
      </c>
      <c r="N426">
        <v>3.7899494171145199E-4</v>
      </c>
      <c r="O426" t="str">
        <f t="shared" si="53"/>
        <v>UP</v>
      </c>
      <c r="P426">
        <v>63.121130573948697</v>
      </c>
      <c r="Q426">
        <v>0.56461884696114595</v>
      </c>
      <c r="R426" t="str">
        <f t="shared" si="54"/>
        <v>UP</v>
      </c>
      <c r="S426">
        <v>1.17359995841979</v>
      </c>
      <c r="T426" t="str">
        <f t="shared" si="48"/>
        <v>UP</v>
      </c>
      <c r="U426">
        <v>1.1727499961853001</v>
      </c>
      <c r="V426" t="str">
        <f t="shared" si="55"/>
        <v>UP</v>
      </c>
      <c r="W426">
        <v>1.1755000352859399</v>
      </c>
      <c r="X426" t="str">
        <f t="shared" si="49"/>
        <v>DOWN</v>
      </c>
      <c r="Y426">
        <v>1.1752500534057599</v>
      </c>
      <c r="Z426" t="str">
        <f t="shared" si="50"/>
        <v>DOWN</v>
      </c>
      <c r="AA426">
        <v>0</v>
      </c>
      <c r="AB426">
        <v>0</v>
      </c>
      <c r="AC426">
        <v>0</v>
      </c>
      <c r="AD426">
        <v>0</v>
      </c>
    </row>
    <row r="427" spans="1:30" hidden="1" x14ac:dyDescent="0.35">
      <c r="A427" s="2">
        <v>45903</v>
      </c>
      <c r="B427" t="s">
        <v>27</v>
      </c>
      <c r="C427">
        <v>1.17340004444122</v>
      </c>
      <c r="D427">
        <v>1.17505002021789</v>
      </c>
      <c r="E427">
        <v>1.1732000112533501</v>
      </c>
      <c r="F427">
        <v>1.17490005493164</v>
      </c>
      <c r="G427">
        <v>3519</v>
      </c>
      <c r="H427">
        <v>1.1738000154495201</v>
      </c>
      <c r="I427">
        <v>2.6001930236807497E-4</v>
      </c>
      <c r="J427" t="str">
        <f t="shared" si="51"/>
        <v>UP</v>
      </c>
      <c r="K427">
        <v>1.1731230020523</v>
      </c>
      <c r="L427" s="1">
        <v>-3.7999153137180298E-5</v>
      </c>
      <c r="M427" t="str">
        <f t="shared" si="52"/>
        <v>DOWN</v>
      </c>
      <c r="N427">
        <v>6.7701339721670795E-4</v>
      </c>
      <c r="O427" t="str">
        <f t="shared" si="53"/>
        <v>UP</v>
      </c>
      <c r="P427">
        <v>54.555448533816097</v>
      </c>
      <c r="Q427">
        <v>-8.5656820401325593</v>
      </c>
      <c r="R427" t="str">
        <f t="shared" si="54"/>
        <v>DOWN</v>
      </c>
      <c r="S427">
        <v>1.17400002479553</v>
      </c>
      <c r="T427" t="str">
        <f t="shared" si="48"/>
        <v>DOWN</v>
      </c>
      <c r="U427">
        <v>1.17359995841979</v>
      </c>
      <c r="V427" t="str">
        <f t="shared" si="55"/>
        <v>DOWN</v>
      </c>
      <c r="W427">
        <v>1.17495000362396</v>
      </c>
      <c r="X427" t="str">
        <f t="shared" si="49"/>
        <v>UP</v>
      </c>
      <c r="Y427">
        <v>1.1755000352859399</v>
      </c>
      <c r="Z427" t="str">
        <f t="shared" si="50"/>
        <v>DOWN</v>
      </c>
      <c r="AA427">
        <v>0</v>
      </c>
      <c r="AB427">
        <v>0</v>
      </c>
      <c r="AC427">
        <v>0</v>
      </c>
      <c r="AD427">
        <v>0</v>
      </c>
    </row>
    <row r="428" spans="1:30" hidden="1" x14ac:dyDescent="0.35">
      <c r="A428" s="2">
        <v>45903</v>
      </c>
      <c r="B428" t="s">
        <v>38</v>
      </c>
      <c r="C428">
        <v>1.17344999313354</v>
      </c>
      <c r="D428">
        <v>1.17400002479553</v>
      </c>
      <c r="E428">
        <v>1.1730999946594201</v>
      </c>
      <c r="F428">
        <v>1.17334997653961</v>
      </c>
      <c r="G428">
        <v>731</v>
      </c>
      <c r="H428">
        <v>1.17402000427246</v>
      </c>
      <c r="I428">
        <v>2.1998882293705599E-4</v>
      </c>
      <c r="J428" t="str">
        <f t="shared" si="51"/>
        <v>UP</v>
      </c>
      <c r="K428">
        <v>1.1730930018424901</v>
      </c>
      <c r="L428" s="1">
        <v>-3.0000209808367298E-5</v>
      </c>
      <c r="M428" t="str">
        <f t="shared" si="52"/>
        <v>DOWN</v>
      </c>
      <c r="N428">
        <v>9.2700242996213102E-4</v>
      </c>
      <c r="O428" t="str">
        <f t="shared" si="53"/>
        <v>UP</v>
      </c>
      <c r="P428">
        <v>54.7830872286942</v>
      </c>
      <c r="Q428">
        <v>0.227638694878081</v>
      </c>
      <c r="R428" t="str">
        <f t="shared" si="54"/>
        <v>UP</v>
      </c>
      <c r="S428">
        <v>1.1732000112533501</v>
      </c>
      <c r="T428" t="str">
        <f t="shared" si="48"/>
        <v>DOWN</v>
      </c>
      <c r="U428">
        <v>1.17400002479553</v>
      </c>
      <c r="V428" t="str">
        <f t="shared" si="55"/>
        <v>DOWN</v>
      </c>
      <c r="W428">
        <v>1.17505002021789</v>
      </c>
      <c r="X428" t="str">
        <f t="shared" si="49"/>
        <v>DOWN</v>
      </c>
      <c r="Y428">
        <v>1.17495000362396</v>
      </c>
      <c r="Z428" t="str">
        <f t="shared" si="50"/>
        <v>DOWN</v>
      </c>
      <c r="AA428">
        <v>0</v>
      </c>
      <c r="AB428">
        <v>0</v>
      </c>
      <c r="AC428">
        <v>0</v>
      </c>
      <c r="AD428">
        <v>0</v>
      </c>
    </row>
    <row r="429" spans="1:30" hidden="1" x14ac:dyDescent="0.35">
      <c r="A429" s="2">
        <v>45903</v>
      </c>
      <c r="B429" t="s">
        <v>28</v>
      </c>
      <c r="C429">
        <v>1.1732000112533501</v>
      </c>
      <c r="D429">
        <v>1.17349994182586</v>
      </c>
      <c r="E429">
        <v>1.1728999614715501</v>
      </c>
      <c r="F429">
        <v>1.17340004444122</v>
      </c>
      <c r="G429">
        <v>120</v>
      </c>
      <c r="H429">
        <v>1.1739200115203801</v>
      </c>
      <c r="I429" s="1">
        <v>-9.9992752075062004E-5</v>
      </c>
      <c r="J429" t="str">
        <f t="shared" si="51"/>
        <v>DOWN</v>
      </c>
      <c r="K429">
        <v>1.1730560016631999</v>
      </c>
      <c r="L429" s="1">
        <v>-3.7000179290647099E-5</v>
      </c>
      <c r="M429" t="str">
        <f t="shared" si="52"/>
        <v>DOWN</v>
      </c>
      <c r="N429">
        <v>8.6400985717771596E-4</v>
      </c>
      <c r="O429" t="str">
        <f t="shared" si="53"/>
        <v>UP</v>
      </c>
      <c r="P429">
        <v>53.342928983962999</v>
      </c>
      <c r="Q429">
        <v>-1.44015824473119</v>
      </c>
      <c r="R429" t="str">
        <f t="shared" si="54"/>
        <v>DOWN</v>
      </c>
      <c r="S429">
        <v>1.1730999946594201</v>
      </c>
      <c r="T429" t="str">
        <f t="shared" si="48"/>
        <v>DOWN</v>
      </c>
      <c r="U429">
        <v>1.1732000112533501</v>
      </c>
      <c r="V429" t="str">
        <f t="shared" si="55"/>
        <v>DOWN</v>
      </c>
      <c r="W429">
        <v>1.17400002479553</v>
      </c>
      <c r="X429" t="str">
        <f t="shared" si="49"/>
        <v>DOWN</v>
      </c>
      <c r="Y429">
        <v>1.17505002021789</v>
      </c>
      <c r="Z429" t="str">
        <f t="shared" si="50"/>
        <v>DOWN</v>
      </c>
      <c r="AA429">
        <v>0</v>
      </c>
      <c r="AB429">
        <v>0</v>
      </c>
      <c r="AC429">
        <v>0</v>
      </c>
      <c r="AD429">
        <v>0</v>
      </c>
    </row>
    <row r="430" spans="1:30" hidden="1" x14ac:dyDescent="0.35">
      <c r="A430" s="2">
        <v>45903</v>
      </c>
      <c r="B430" t="s">
        <v>39</v>
      </c>
      <c r="C430">
        <v>1.1732499599456701</v>
      </c>
      <c r="D430">
        <v>1.17365002632141</v>
      </c>
      <c r="E430">
        <v>1.1728999614715501</v>
      </c>
      <c r="F430">
        <v>1.1730999946594201</v>
      </c>
      <c r="G430">
        <v>57</v>
      </c>
      <c r="H430">
        <v>1.1736299991607599</v>
      </c>
      <c r="I430">
        <v>-2.9001235961922901E-4</v>
      </c>
      <c r="J430" t="str">
        <f t="shared" si="51"/>
        <v>DOWN</v>
      </c>
      <c r="K430">
        <v>1.1730310010909999</v>
      </c>
      <c r="L430" s="1">
        <v>-2.5000572204669698E-5</v>
      </c>
      <c r="M430" t="str">
        <f t="shared" si="52"/>
        <v>DOWN</v>
      </c>
      <c r="N430">
        <v>5.9899806976315695E-4</v>
      </c>
      <c r="O430" t="str">
        <f t="shared" si="53"/>
        <v>UP</v>
      </c>
      <c r="P430">
        <v>53.605369995975998</v>
      </c>
      <c r="Q430">
        <v>0.26244101201301301</v>
      </c>
      <c r="R430" t="str">
        <f t="shared" si="54"/>
        <v>UP</v>
      </c>
      <c r="S430">
        <v>1.1728999614715501</v>
      </c>
      <c r="T430" t="str">
        <f t="shared" si="48"/>
        <v>UP</v>
      </c>
      <c r="U430">
        <v>1.1730999946594201</v>
      </c>
      <c r="V430" t="str">
        <f t="shared" si="55"/>
        <v>DOWN</v>
      </c>
      <c r="W430">
        <v>1.17349994182586</v>
      </c>
      <c r="X430" t="str">
        <f t="shared" si="49"/>
        <v>UP</v>
      </c>
      <c r="Y430">
        <v>1.17400002479553</v>
      </c>
      <c r="Z430" t="str">
        <f t="shared" si="50"/>
        <v>DOWN</v>
      </c>
      <c r="AA430">
        <v>0</v>
      </c>
      <c r="AB430">
        <v>0</v>
      </c>
      <c r="AC430">
        <v>0</v>
      </c>
      <c r="AD430">
        <v>0</v>
      </c>
    </row>
    <row r="431" spans="1:30" hidden="1" x14ac:dyDescent="0.35">
      <c r="A431" s="2">
        <v>45903</v>
      </c>
      <c r="B431" t="s">
        <v>40</v>
      </c>
      <c r="C431">
        <v>1.1731499433517401</v>
      </c>
      <c r="D431">
        <v>1.1732000112533501</v>
      </c>
      <c r="E431">
        <v>1.1730500459671001</v>
      </c>
      <c r="F431">
        <v>1.1731499433517401</v>
      </c>
      <c r="G431">
        <v>0</v>
      </c>
      <c r="H431">
        <v>1.17328999042511</v>
      </c>
      <c r="I431">
        <v>-3.4000873565664898E-4</v>
      </c>
      <c r="J431" t="str">
        <f t="shared" si="51"/>
        <v>DOWN</v>
      </c>
      <c r="K431">
        <v>1.17301399946212</v>
      </c>
      <c r="L431" s="1">
        <v>-1.7001628875856699E-5</v>
      </c>
      <c r="M431" t="str">
        <f t="shared" si="52"/>
        <v>DOWN</v>
      </c>
      <c r="N431">
        <v>2.7599096298236398E-4</v>
      </c>
      <c r="O431" t="str">
        <f t="shared" si="53"/>
        <v>UP</v>
      </c>
      <c r="P431">
        <v>52.962950043806103</v>
      </c>
      <c r="Q431">
        <v>-0.642419952169895</v>
      </c>
      <c r="R431" t="str">
        <f t="shared" si="54"/>
        <v>DOWN</v>
      </c>
      <c r="S431">
        <v>1.1728999614715501</v>
      </c>
      <c r="T431" t="str">
        <f t="shared" si="48"/>
        <v>UP</v>
      </c>
      <c r="U431">
        <v>1.1728999614715501</v>
      </c>
      <c r="V431" t="str">
        <f t="shared" si="55"/>
        <v>UP</v>
      </c>
      <c r="W431">
        <v>1.17365002632141</v>
      </c>
      <c r="X431" t="str">
        <f t="shared" si="49"/>
        <v>DOWN</v>
      </c>
      <c r="Y431">
        <v>1.17349994182586</v>
      </c>
      <c r="Z431" t="str">
        <f t="shared" si="50"/>
        <v>DOWN</v>
      </c>
      <c r="AA431">
        <v>0</v>
      </c>
      <c r="AB431">
        <v>0</v>
      </c>
      <c r="AC431">
        <v>0</v>
      </c>
      <c r="AD431">
        <v>0</v>
      </c>
    </row>
    <row r="432" spans="1:30" hidden="1" x14ac:dyDescent="0.35">
      <c r="A432" s="2">
        <v>45903</v>
      </c>
      <c r="B432" t="s">
        <v>42</v>
      </c>
      <c r="C432">
        <v>1.1732000112533501</v>
      </c>
      <c r="D432">
        <v>1.17334997653961</v>
      </c>
      <c r="E432">
        <v>1.1727999448776201</v>
      </c>
      <c r="F432">
        <v>1.1730999946594201</v>
      </c>
      <c r="G432">
        <v>37</v>
      </c>
      <c r="H432">
        <v>1.1732499837875301</v>
      </c>
      <c r="I432" s="1">
        <v>-4.0006637573419803E-5</v>
      </c>
      <c r="J432" t="str">
        <f t="shared" si="51"/>
        <v>DOWN</v>
      </c>
      <c r="K432">
        <v>1.1730110001564</v>
      </c>
      <c r="L432" s="1">
        <v>-2.9993057248933701E-6</v>
      </c>
      <c r="M432" t="str">
        <f t="shared" si="52"/>
        <v>DOWN</v>
      </c>
      <c r="N432">
        <v>2.3898363113383699E-4</v>
      </c>
      <c r="O432" t="str">
        <f t="shared" si="53"/>
        <v>UP</v>
      </c>
      <c r="P432">
        <v>53.264893742133602</v>
      </c>
      <c r="Q432">
        <v>0.301943698327512</v>
      </c>
      <c r="R432" t="str">
        <f t="shared" si="54"/>
        <v>UP</v>
      </c>
      <c r="S432">
        <v>1.1730500459671001</v>
      </c>
      <c r="T432" t="str">
        <f t="shared" si="48"/>
        <v>DOWN</v>
      </c>
      <c r="U432">
        <v>1.1728999614715501</v>
      </c>
      <c r="V432" t="str">
        <f t="shared" si="55"/>
        <v>DOWN</v>
      </c>
      <c r="W432">
        <v>1.1732000112533501</v>
      </c>
      <c r="X432" t="str">
        <f t="shared" si="49"/>
        <v>UP</v>
      </c>
      <c r="Y432">
        <v>1.17365002632141</v>
      </c>
      <c r="Z432" t="str">
        <f t="shared" si="50"/>
        <v>DOWN</v>
      </c>
      <c r="AA432">
        <v>0</v>
      </c>
      <c r="AB432">
        <v>0</v>
      </c>
      <c r="AC432">
        <v>0</v>
      </c>
      <c r="AD432">
        <v>0</v>
      </c>
    </row>
    <row r="433" spans="1:30" hidden="1" x14ac:dyDescent="0.35">
      <c r="A433" s="2">
        <v>45904</v>
      </c>
      <c r="B433" t="s">
        <v>29</v>
      </c>
      <c r="C433">
        <v>1.1729500293731601</v>
      </c>
      <c r="D433">
        <v>1.1732499599456701</v>
      </c>
      <c r="E433">
        <v>1.1726000308990401</v>
      </c>
      <c r="F433">
        <v>1.1732000112533501</v>
      </c>
      <c r="G433">
        <v>62</v>
      </c>
      <c r="H433">
        <v>1.1731499910354599</v>
      </c>
      <c r="I433" s="1">
        <v>-9.9992752075062004E-5</v>
      </c>
      <c r="J433" t="str">
        <f t="shared" si="51"/>
        <v>DOWN</v>
      </c>
      <c r="K433">
        <v>1.1729820013046199</v>
      </c>
      <c r="L433" s="1">
        <v>-2.8998851776318399E-5</v>
      </c>
      <c r="M433" t="str">
        <f t="shared" si="52"/>
        <v>DOWN</v>
      </c>
      <c r="N433">
        <v>1.67989730835094E-4</v>
      </c>
      <c r="O433" t="str">
        <f t="shared" si="53"/>
        <v>UP</v>
      </c>
      <c r="P433">
        <v>51.4877457494119</v>
      </c>
      <c r="Q433">
        <v>-1.7771479927217699</v>
      </c>
      <c r="R433" t="str">
        <f t="shared" si="54"/>
        <v>DOWN</v>
      </c>
      <c r="S433">
        <v>1.1727999448776201</v>
      </c>
      <c r="T433" t="str">
        <f t="shared" si="48"/>
        <v>DOWN</v>
      </c>
      <c r="U433">
        <v>1.1730500459671001</v>
      </c>
      <c r="V433" t="str">
        <f t="shared" si="55"/>
        <v>DOWN</v>
      </c>
      <c r="W433">
        <v>1.17334997653961</v>
      </c>
      <c r="X433" t="str">
        <f t="shared" si="49"/>
        <v>DOWN</v>
      </c>
      <c r="Y433">
        <v>1.1732000112533501</v>
      </c>
      <c r="Z433" t="str">
        <f t="shared" si="50"/>
        <v>UP</v>
      </c>
      <c r="AA433">
        <v>0</v>
      </c>
      <c r="AB433">
        <v>0</v>
      </c>
      <c r="AC433">
        <v>0</v>
      </c>
      <c r="AD433">
        <v>0</v>
      </c>
    </row>
    <row r="434" spans="1:30" hidden="1" x14ac:dyDescent="0.35">
      <c r="A434" s="2">
        <v>45904</v>
      </c>
      <c r="B434" t="s">
        <v>30</v>
      </c>
      <c r="C434">
        <v>1.1728500127792301</v>
      </c>
      <c r="D434">
        <v>1.17394995689392</v>
      </c>
      <c r="E434">
        <v>1.1722999811172401</v>
      </c>
      <c r="F434">
        <v>1.1730500459671001</v>
      </c>
      <c r="G434">
        <v>97</v>
      </c>
      <c r="H434">
        <v>1.17307999134063</v>
      </c>
      <c r="I434" s="1">
        <v>-6.9999694824351895E-5</v>
      </c>
      <c r="J434" t="str">
        <f t="shared" si="51"/>
        <v>DOWN</v>
      </c>
      <c r="K434">
        <v>1.1728780007362301</v>
      </c>
      <c r="L434">
        <v>-1.0400056838988301E-4</v>
      </c>
      <c r="M434" t="str">
        <f t="shared" si="52"/>
        <v>DOWN</v>
      </c>
      <c r="N434">
        <v>2.0199060440062499E-4</v>
      </c>
      <c r="O434" t="str">
        <f t="shared" si="53"/>
        <v>UP</v>
      </c>
      <c r="P434">
        <v>50.758060175216599</v>
      </c>
      <c r="Q434">
        <v>-0.72968557419527202</v>
      </c>
      <c r="R434" t="str">
        <f t="shared" si="54"/>
        <v>DOWN</v>
      </c>
      <c r="S434">
        <v>1.1726000308990401</v>
      </c>
      <c r="T434" t="str">
        <f t="shared" si="48"/>
        <v>DOWN</v>
      </c>
      <c r="U434">
        <v>1.1727999448776201</v>
      </c>
      <c r="V434" t="str">
        <f t="shared" si="55"/>
        <v>DOWN</v>
      </c>
      <c r="W434">
        <v>1.1732499599456701</v>
      </c>
      <c r="X434" t="str">
        <f t="shared" si="49"/>
        <v>UP</v>
      </c>
      <c r="Y434">
        <v>1.17334997653961</v>
      </c>
      <c r="Z434" t="str">
        <f t="shared" si="50"/>
        <v>UP</v>
      </c>
      <c r="AA434">
        <v>1</v>
      </c>
      <c r="AB434">
        <v>0</v>
      </c>
      <c r="AC434">
        <v>0</v>
      </c>
      <c r="AD434">
        <v>0</v>
      </c>
    </row>
    <row r="435" spans="1:30" hidden="1" x14ac:dyDescent="0.35">
      <c r="A435" s="2">
        <v>45904</v>
      </c>
      <c r="B435" t="s">
        <v>31</v>
      </c>
      <c r="C435">
        <v>1.1723500490188501</v>
      </c>
      <c r="D435">
        <v>1.1729500293731601</v>
      </c>
      <c r="E435">
        <v>1.1721500158309901</v>
      </c>
      <c r="F435">
        <v>1.1729500293731601</v>
      </c>
      <c r="G435">
        <v>71</v>
      </c>
      <c r="H435">
        <v>1.1729000091552699</v>
      </c>
      <c r="I435">
        <v>-1.7998218536363601E-4</v>
      </c>
      <c r="J435" t="str">
        <f t="shared" si="51"/>
        <v>DOWN</v>
      </c>
      <c r="K435">
        <v>1.1727830028533901</v>
      </c>
      <c r="L435" s="1">
        <v>-9.4997882842839902E-5</v>
      </c>
      <c r="M435" t="str">
        <f t="shared" si="52"/>
        <v>DOWN</v>
      </c>
      <c r="N435">
        <v>1.1700630187982899E-4</v>
      </c>
      <c r="O435" t="str">
        <f t="shared" si="53"/>
        <v>UP</v>
      </c>
      <c r="P435">
        <v>47.160089250058697</v>
      </c>
      <c r="Q435">
        <v>-3.5979709251579299</v>
      </c>
      <c r="R435" t="str">
        <f t="shared" si="54"/>
        <v>DOWN</v>
      </c>
      <c r="S435">
        <v>1.1722999811172401</v>
      </c>
      <c r="T435" t="str">
        <f t="shared" si="48"/>
        <v>DOWN</v>
      </c>
      <c r="U435">
        <v>1.1726000308990401</v>
      </c>
      <c r="V435" t="str">
        <f t="shared" si="55"/>
        <v>DOWN</v>
      </c>
      <c r="W435">
        <v>1.17394995689392</v>
      </c>
      <c r="X435" t="str">
        <f t="shared" si="49"/>
        <v>DOWN</v>
      </c>
      <c r="Y435">
        <v>1.1732499599456701</v>
      </c>
      <c r="Z435" t="str">
        <f t="shared" si="50"/>
        <v>DOWN</v>
      </c>
      <c r="AA435">
        <v>0</v>
      </c>
      <c r="AB435">
        <v>0</v>
      </c>
      <c r="AC435">
        <v>0</v>
      </c>
      <c r="AD435">
        <v>0</v>
      </c>
    </row>
    <row r="436" spans="1:30" hidden="1" x14ac:dyDescent="0.35">
      <c r="A436" s="2">
        <v>45904</v>
      </c>
      <c r="B436" t="s">
        <v>32</v>
      </c>
      <c r="C436">
        <v>1.1723999977111801</v>
      </c>
      <c r="D436">
        <v>1.1726000308990401</v>
      </c>
      <c r="E436">
        <v>1.1720999479293801</v>
      </c>
      <c r="F436">
        <v>1.1723999977111801</v>
      </c>
      <c r="G436">
        <v>558</v>
      </c>
      <c r="H436">
        <v>1.1727500200271599</v>
      </c>
      <c r="I436">
        <v>-1.4998912811292601E-4</v>
      </c>
      <c r="J436" t="str">
        <f t="shared" si="51"/>
        <v>DOWN</v>
      </c>
      <c r="K436">
        <v>1.17267600297927</v>
      </c>
      <c r="L436">
        <v>-1.0699987411499899E-4</v>
      </c>
      <c r="M436" t="str">
        <f t="shared" si="52"/>
        <v>DOWN</v>
      </c>
      <c r="N436" s="1">
        <v>7.4017047881902402E-5</v>
      </c>
      <c r="O436" t="str">
        <f t="shared" si="53"/>
        <v>UP</v>
      </c>
      <c r="P436">
        <v>47.5600205788026</v>
      </c>
      <c r="Q436">
        <v>0.39993132874396697</v>
      </c>
      <c r="R436" t="str">
        <f t="shared" si="54"/>
        <v>UP</v>
      </c>
      <c r="S436">
        <v>1.1721500158309901</v>
      </c>
      <c r="T436" t="str">
        <f t="shared" si="48"/>
        <v>DOWN</v>
      </c>
      <c r="U436">
        <v>1.1722999811172401</v>
      </c>
      <c r="V436" t="str">
        <f t="shared" si="55"/>
        <v>DOWN</v>
      </c>
      <c r="W436">
        <v>1.1729500293731601</v>
      </c>
      <c r="X436" t="str">
        <f t="shared" si="49"/>
        <v>DOWN</v>
      </c>
      <c r="Y436">
        <v>1.17394995689392</v>
      </c>
      <c r="Z436" t="str">
        <f t="shared" si="50"/>
        <v>DOWN</v>
      </c>
      <c r="AA436">
        <v>0</v>
      </c>
      <c r="AB436">
        <v>0</v>
      </c>
      <c r="AC436">
        <v>0</v>
      </c>
      <c r="AD436">
        <v>0</v>
      </c>
    </row>
    <row r="437" spans="1:30" hidden="1" x14ac:dyDescent="0.35">
      <c r="A437" s="2">
        <v>45904</v>
      </c>
      <c r="B437" t="s">
        <v>33</v>
      </c>
      <c r="C437">
        <v>1.1721999645233101</v>
      </c>
      <c r="D437">
        <v>1.1725499629974301</v>
      </c>
      <c r="E437">
        <v>1.1721999645233101</v>
      </c>
      <c r="F437">
        <v>1.1725499629974301</v>
      </c>
      <c r="G437">
        <v>27</v>
      </c>
      <c r="H437">
        <v>1.1725500106811499</v>
      </c>
      <c r="I437">
        <v>-2.0000934600816701E-4</v>
      </c>
      <c r="J437" t="str">
        <f t="shared" si="51"/>
        <v>DOWN</v>
      </c>
      <c r="K437">
        <v>1.1725760030746399</v>
      </c>
      <c r="L437" s="1">
        <v>-9.9999904632719295E-5</v>
      </c>
      <c r="M437" t="str">
        <f t="shared" si="52"/>
        <v>DOWN</v>
      </c>
      <c r="N437" s="1">
        <v>-2.5992393493545701E-5</v>
      </c>
      <c r="O437" t="str">
        <f t="shared" si="53"/>
        <v>DOWN</v>
      </c>
      <c r="P437">
        <v>46.056608879512602</v>
      </c>
      <c r="Q437">
        <v>-1.50341169929001</v>
      </c>
      <c r="R437" t="str">
        <f t="shared" si="54"/>
        <v>DOWN</v>
      </c>
      <c r="S437">
        <v>1.1720999479293801</v>
      </c>
      <c r="T437" t="str">
        <f t="shared" si="48"/>
        <v>UP</v>
      </c>
      <c r="U437">
        <v>1.1721500158309901</v>
      </c>
      <c r="V437" t="str">
        <f t="shared" si="55"/>
        <v>UP</v>
      </c>
      <c r="W437">
        <v>1.1726000308990401</v>
      </c>
      <c r="X437" t="str">
        <f t="shared" si="49"/>
        <v>DOWN</v>
      </c>
      <c r="Y437">
        <v>1.1729500293731601</v>
      </c>
      <c r="Z437" t="str">
        <f t="shared" si="50"/>
        <v>DOWN</v>
      </c>
      <c r="AA437">
        <v>0</v>
      </c>
      <c r="AB437">
        <v>0</v>
      </c>
      <c r="AC437">
        <v>0</v>
      </c>
      <c r="AD437">
        <v>0</v>
      </c>
    </row>
    <row r="438" spans="1:30" hidden="1" x14ac:dyDescent="0.35">
      <c r="A438" s="2">
        <v>45904</v>
      </c>
      <c r="B438" t="s">
        <v>41</v>
      </c>
      <c r="C438">
        <v>1.1723500490188501</v>
      </c>
      <c r="D438">
        <v>1.1725000143051101</v>
      </c>
      <c r="E438">
        <v>1.1719499826431199</v>
      </c>
      <c r="F438">
        <v>1.1722500324249201</v>
      </c>
      <c r="G438">
        <v>244</v>
      </c>
      <c r="H438">
        <v>1.17243001461029</v>
      </c>
      <c r="I438">
        <v>-1.19996070861772E-4</v>
      </c>
      <c r="J438" t="str">
        <f t="shared" si="51"/>
        <v>DOWN</v>
      </c>
      <c r="K438">
        <v>1.17247500419616</v>
      </c>
      <c r="L438">
        <v>-1.0099887847903E-4</v>
      </c>
      <c r="M438" t="str">
        <f t="shared" si="52"/>
        <v>DOWN</v>
      </c>
      <c r="N438" s="1">
        <v>-4.4989585876287201E-5</v>
      </c>
      <c r="O438" t="str">
        <f t="shared" si="53"/>
        <v>DOWN</v>
      </c>
      <c r="P438">
        <v>47.4001134738159</v>
      </c>
      <c r="Q438">
        <v>1.3435045943032899</v>
      </c>
      <c r="R438" t="str">
        <f t="shared" si="54"/>
        <v>UP</v>
      </c>
      <c r="S438">
        <v>1.1721999645233101</v>
      </c>
      <c r="T438" t="str">
        <f t="shared" si="48"/>
        <v>DOWN</v>
      </c>
      <c r="U438">
        <v>1.1720999479293801</v>
      </c>
      <c r="V438" t="str">
        <f t="shared" si="55"/>
        <v>DOWN</v>
      </c>
      <c r="W438">
        <v>1.1725499629974301</v>
      </c>
      <c r="X438" t="str">
        <f t="shared" si="49"/>
        <v>DOWN</v>
      </c>
      <c r="Y438">
        <v>1.1726000308990401</v>
      </c>
      <c r="Z438" t="str">
        <f t="shared" si="50"/>
        <v>DOWN</v>
      </c>
      <c r="AA438">
        <v>0</v>
      </c>
      <c r="AB438">
        <v>0</v>
      </c>
      <c r="AC438">
        <v>0</v>
      </c>
      <c r="AD438">
        <v>0</v>
      </c>
    </row>
    <row r="439" spans="1:30" hidden="1" x14ac:dyDescent="0.35">
      <c r="A439" s="2">
        <v>45904</v>
      </c>
      <c r="B439" t="s">
        <v>34</v>
      </c>
      <c r="C439">
        <v>1.1721999645233101</v>
      </c>
      <c r="D439">
        <v>1.1729999780654901</v>
      </c>
      <c r="E439">
        <v>1.1721999645233101</v>
      </c>
      <c r="F439">
        <v>1.1726499795913601</v>
      </c>
      <c r="G439">
        <v>2564</v>
      </c>
      <c r="H439">
        <v>1.1723000049590999</v>
      </c>
      <c r="I439">
        <v>-1.3000965118425899E-4</v>
      </c>
      <c r="J439" t="str">
        <f t="shared" si="51"/>
        <v>DOWN</v>
      </c>
      <c r="K439">
        <v>1.17237200260162</v>
      </c>
      <c r="L439">
        <v>-1.0300159454335E-4</v>
      </c>
      <c r="M439" t="str">
        <f t="shared" si="52"/>
        <v>DOWN</v>
      </c>
      <c r="N439" s="1">
        <v>-7.1997642517196398E-5</v>
      </c>
      <c r="O439" t="str">
        <f t="shared" si="53"/>
        <v>DOWN</v>
      </c>
      <c r="P439">
        <v>46.161972898105603</v>
      </c>
      <c r="Q439">
        <v>-1.2381405757103101</v>
      </c>
      <c r="R439" t="str">
        <f t="shared" si="54"/>
        <v>DOWN</v>
      </c>
      <c r="S439">
        <v>1.1719499826431199</v>
      </c>
      <c r="T439" t="str">
        <f t="shared" si="48"/>
        <v>UP</v>
      </c>
      <c r="U439">
        <v>1.1721999645233101</v>
      </c>
      <c r="V439" t="str">
        <f t="shared" si="55"/>
        <v>UP</v>
      </c>
      <c r="W439">
        <v>1.1725000143051101</v>
      </c>
      <c r="X439" t="str">
        <f t="shared" si="49"/>
        <v>UP</v>
      </c>
      <c r="Y439">
        <v>1.1725499629974301</v>
      </c>
      <c r="Z439" t="str">
        <f t="shared" si="50"/>
        <v>UP</v>
      </c>
      <c r="AA439">
        <v>0</v>
      </c>
      <c r="AB439">
        <v>0</v>
      </c>
      <c r="AC439">
        <v>0</v>
      </c>
      <c r="AD439">
        <v>0</v>
      </c>
    </row>
    <row r="440" spans="1:30" hidden="1" x14ac:dyDescent="0.35">
      <c r="A440" s="2">
        <v>45904</v>
      </c>
      <c r="B440" t="s">
        <v>35</v>
      </c>
      <c r="C440">
        <v>1.1719499826431199</v>
      </c>
      <c r="D440">
        <v>1.1727999448776201</v>
      </c>
      <c r="E440">
        <v>1.1715999841689999</v>
      </c>
      <c r="F440">
        <v>1.1722500324249201</v>
      </c>
      <c r="G440">
        <v>199</v>
      </c>
      <c r="H440">
        <v>1.17221999168396</v>
      </c>
      <c r="I440" s="1">
        <v>-8.0013275146395503E-5</v>
      </c>
      <c r="J440" t="str">
        <f t="shared" si="51"/>
        <v>DOWN</v>
      </c>
      <c r="K440">
        <v>1.17228800296783</v>
      </c>
      <c r="L440" s="1">
        <v>-8.39996337891335E-5</v>
      </c>
      <c r="M440" t="str">
        <f t="shared" si="52"/>
        <v>DOWN</v>
      </c>
      <c r="N440" s="1">
        <v>-6.8011283874458401E-5</v>
      </c>
      <c r="O440" t="str">
        <f t="shared" si="53"/>
        <v>DOWN</v>
      </c>
      <c r="P440">
        <v>44.095897596750802</v>
      </c>
      <c r="Q440">
        <v>-2.0660753013547501</v>
      </c>
      <c r="R440" t="str">
        <f t="shared" si="54"/>
        <v>DOWN</v>
      </c>
      <c r="S440">
        <v>1.1721999645233101</v>
      </c>
      <c r="T440" t="str">
        <f t="shared" si="48"/>
        <v>DOWN</v>
      </c>
      <c r="U440">
        <v>1.1719499826431199</v>
      </c>
      <c r="V440" t="str">
        <f t="shared" si="55"/>
        <v>DOWN</v>
      </c>
      <c r="W440">
        <v>1.1729999780654901</v>
      </c>
      <c r="X440" t="str">
        <f t="shared" si="49"/>
        <v>DOWN</v>
      </c>
      <c r="Y440">
        <v>1.1725000143051101</v>
      </c>
      <c r="Z440" t="str">
        <f t="shared" si="50"/>
        <v>UP</v>
      </c>
      <c r="AA440">
        <v>0</v>
      </c>
      <c r="AB440">
        <v>0</v>
      </c>
      <c r="AC440">
        <v>0</v>
      </c>
      <c r="AD440">
        <v>0</v>
      </c>
    </row>
    <row r="441" spans="1:30" hidden="1" x14ac:dyDescent="0.35">
      <c r="A441" s="2">
        <v>45904</v>
      </c>
      <c r="B441" t="s">
        <v>36</v>
      </c>
      <c r="C441">
        <v>1.1726000308990401</v>
      </c>
      <c r="D441">
        <v>1.1729500293731601</v>
      </c>
      <c r="E441">
        <v>1.1719499826431199</v>
      </c>
      <c r="F441">
        <v>1.1720999479293801</v>
      </c>
      <c r="G441">
        <v>377</v>
      </c>
      <c r="H441">
        <v>1.1722599983215301</v>
      </c>
      <c r="I441" s="1">
        <v>4.0006637573197697E-5</v>
      </c>
      <c r="J441" t="str">
        <f t="shared" si="51"/>
        <v>UP</v>
      </c>
      <c r="K441">
        <v>1.1722060036659201</v>
      </c>
      <c r="L441" s="1">
        <v>-8.1999301910329296E-5</v>
      </c>
      <c r="M441" t="str">
        <f t="shared" si="52"/>
        <v>DOWN</v>
      </c>
      <c r="N441" s="1">
        <v>5.3994655609068599E-5</v>
      </c>
      <c r="O441" t="str">
        <f t="shared" si="53"/>
        <v>UP</v>
      </c>
      <c r="P441">
        <v>50.322399759446697</v>
      </c>
      <c r="Q441">
        <v>6.2265021626959003</v>
      </c>
      <c r="R441" t="str">
        <f t="shared" si="54"/>
        <v>UP</v>
      </c>
      <c r="S441">
        <v>1.1715999841689999</v>
      </c>
      <c r="T441" t="str">
        <f t="shared" si="48"/>
        <v>UP</v>
      </c>
      <c r="U441">
        <v>1.1721999645233101</v>
      </c>
      <c r="V441" t="str">
        <f t="shared" si="55"/>
        <v>DOWN</v>
      </c>
      <c r="W441">
        <v>1.1727999448776201</v>
      </c>
      <c r="X441" t="str">
        <f t="shared" si="49"/>
        <v>UP</v>
      </c>
      <c r="Y441">
        <v>1.1729999780654901</v>
      </c>
      <c r="Z441" t="str">
        <f t="shared" si="50"/>
        <v>DOWN</v>
      </c>
      <c r="AA441">
        <v>0</v>
      </c>
      <c r="AB441">
        <v>0</v>
      </c>
      <c r="AC441">
        <v>0</v>
      </c>
      <c r="AD441">
        <v>0</v>
      </c>
    </row>
    <row r="442" spans="1:30" hidden="1" x14ac:dyDescent="0.35">
      <c r="A442" s="2">
        <v>45904</v>
      </c>
      <c r="B442" t="s">
        <v>37</v>
      </c>
      <c r="C442">
        <v>1.1712499856948799</v>
      </c>
      <c r="D442">
        <v>1.1728500127792301</v>
      </c>
      <c r="E442">
        <v>1.1710000038146899</v>
      </c>
      <c r="F442">
        <v>1.1728500127792301</v>
      </c>
      <c r="G442">
        <v>263</v>
      </c>
      <c r="H442">
        <v>1.1720700025558399</v>
      </c>
      <c r="I442">
        <v>-1.8999576568590101E-4</v>
      </c>
      <c r="J442" t="str">
        <f t="shared" si="51"/>
        <v>DOWN</v>
      </c>
      <c r="K442">
        <v>1.17209300279617</v>
      </c>
      <c r="L442">
        <v>-1.13000869750967E-4</v>
      </c>
      <c r="M442" t="str">
        <f t="shared" si="52"/>
        <v>DOWN</v>
      </c>
      <c r="N442" s="1">
        <v>-2.3000240325865501E-5</v>
      </c>
      <c r="O442" t="str">
        <f t="shared" si="53"/>
        <v>DOWN</v>
      </c>
      <c r="P442">
        <v>40.286664935507801</v>
      </c>
      <c r="Q442">
        <v>-10.0357348239388</v>
      </c>
      <c r="R442" t="str">
        <f t="shared" si="54"/>
        <v>DOWN</v>
      </c>
      <c r="S442">
        <v>1.1719499826431199</v>
      </c>
      <c r="T442" t="str">
        <f t="shared" si="48"/>
        <v>DOWN</v>
      </c>
      <c r="U442">
        <v>1.1715999841689999</v>
      </c>
      <c r="V442" t="str">
        <f t="shared" si="55"/>
        <v>DOWN</v>
      </c>
      <c r="W442">
        <v>1.1729500293731601</v>
      </c>
      <c r="X442" t="str">
        <f t="shared" si="49"/>
        <v>DOWN</v>
      </c>
      <c r="Y442">
        <v>1.1727999448776201</v>
      </c>
      <c r="Z442" t="str">
        <f t="shared" si="50"/>
        <v>UP</v>
      </c>
      <c r="AA442">
        <v>0</v>
      </c>
      <c r="AB442">
        <v>0</v>
      </c>
      <c r="AC442">
        <v>0</v>
      </c>
      <c r="AD442">
        <v>0</v>
      </c>
    </row>
    <row r="443" spans="1:30" hidden="1" x14ac:dyDescent="0.35">
      <c r="A443" s="2">
        <v>45904</v>
      </c>
      <c r="B443" t="s">
        <v>20</v>
      </c>
      <c r="C443">
        <v>1.1721999645233101</v>
      </c>
      <c r="D443">
        <v>1.1728999614715501</v>
      </c>
      <c r="E443">
        <v>1.1713000535964899</v>
      </c>
      <c r="F443">
        <v>1.1713999509811399</v>
      </c>
      <c r="G443">
        <v>611</v>
      </c>
      <c r="H443">
        <v>1.1720399856567301</v>
      </c>
      <c r="I443" s="1">
        <v>-3.0016899108975499E-5</v>
      </c>
      <c r="J443" t="str">
        <f t="shared" si="51"/>
        <v>DOWN</v>
      </c>
      <c r="K443">
        <v>1.1719820022583001</v>
      </c>
      <c r="L443">
        <v>-1.1100053787238501E-4</v>
      </c>
      <c r="M443" t="str">
        <f t="shared" si="52"/>
        <v>DOWN</v>
      </c>
      <c r="N443" s="1">
        <v>5.7983398437544402E-5</v>
      </c>
      <c r="O443" t="str">
        <f t="shared" si="53"/>
        <v>UP</v>
      </c>
      <c r="P443">
        <v>48.126135545995702</v>
      </c>
      <c r="Q443">
        <v>7.8394706104878198</v>
      </c>
      <c r="R443" t="str">
        <f t="shared" si="54"/>
        <v>UP</v>
      </c>
      <c r="S443">
        <v>1.1710000038146899</v>
      </c>
      <c r="T443" t="str">
        <f t="shared" si="48"/>
        <v>UP</v>
      </c>
      <c r="U443">
        <v>1.1719499826431199</v>
      </c>
      <c r="V443" t="str">
        <f t="shared" si="55"/>
        <v>DOWN</v>
      </c>
      <c r="W443">
        <v>1.1728500127792301</v>
      </c>
      <c r="X443" t="str">
        <f t="shared" si="49"/>
        <v>UP</v>
      </c>
      <c r="Y443">
        <v>1.1729500293731601</v>
      </c>
      <c r="Z443" t="str">
        <f t="shared" si="50"/>
        <v>DOWN</v>
      </c>
      <c r="AA443">
        <v>0</v>
      </c>
      <c r="AB443">
        <v>0</v>
      </c>
      <c r="AC443">
        <v>0</v>
      </c>
      <c r="AD443">
        <v>0</v>
      </c>
    </row>
    <row r="444" spans="1:30" hidden="1" x14ac:dyDescent="0.35">
      <c r="A444" s="2">
        <v>45904</v>
      </c>
      <c r="B444" t="s">
        <v>21</v>
      </c>
      <c r="C444">
        <v>1.1713000535964899</v>
      </c>
      <c r="D444">
        <v>1.1722500324249201</v>
      </c>
      <c r="E444">
        <v>1.1710000038146899</v>
      </c>
      <c r="F444">
        <v>1.1722500324249201</v>
      </c>
      <c r="G444">
        <v>523</v>
      </c>
      <c r="H444">
        <v>1.17186000347137</v>
      </c>
      <c r="I444">
        <v>-1.79982185363858E-4</v>
      </c>
      <c r="J444" t="str">
        <f t="shared" si="51"/>
        <v>DOWN</v>
      </c>
      <c r="K444">
        <v>1.1719700026512101</v>
      </c>
      <c r="L444" s="1">
        <v>-1.1999607086199401E-5</v>
      </c>
      <c r="M444" t="str">
        <f t="shared" si="52"/>
        <v>DOWN</v>
      </c>
      <c r="N444">
        <v>-1.0999917984011399E-4</v>
      </c>
      <c r="O444" t="str">
        <f t="shared" si="53"/>
        <v>DOWN</v>
      </c>
      <c r="P444">
        <v>42.441802555690998</v>
      </c>
      <c r="Q444">
        <v>-5.68433299030466</v>
      </c>
      <c r="R444" t="str">
        <f t="shared" si="54"/>
        <v>DOWN</v>
      </c>
      <c r="S444">
        <v>1.1713000535964899</v>
      </c>
      <c r="T444" t="str">
        <f t="shared" si="48"/>
        <v>DOWN</v>
      </c>
      <c r="U444">
        <v>1.1710000038146899</v>
      </c>
      <c r="V444" t="str">
        <f t="shared" si="55"/>
        <v>UP</v>
      </c>
      <c r="W444">
        <v>1.1728999614715501</v>
      </c>
      <c r="X444" t="str">
        <f t="shared" si="49"/>
        <v>DOWN</v>
      </c>
      <c r="Y444">
        <v>1.1728500127792301</v>
      </c>
      <c r="Z444" t="str">
        <f t="shared" si="50"/>
        <v>DOWN</v>
      </c>
      <c r="AA444">
        <v>0</v>
      </c>
      <c r="AB444">
        <v>0</v>
      </c>
      <c r="AC444">
        <v>0</v>
      </c>
      <c r="AD444">
        <v>0</v>
      </c>
    </row>
    <row r="445" spans="1:30" hidden="1" x14ac:dyDescent="0.35">
      <c r="A445" s="2">
        <v>45904</v>
      </c>
      <c r="B445" t="s">
        <v>22</v>
      </c>
      <c r="C445">
        <v>1.1716500520706099</v>
      </c>
      <c r="D445">
        <v>1.1727000474929801</v>
      </c>
      <c r="E445">
        <v>1.17009997367858</v>
      </c>
      <c r="F445">
        <v>1.1714999675750699</v>
      </c>
      <c r="G445">
        <v>3992</v>
      </c>
      <c r="H445">
        <v>1.1718000173568699</v>
      </c>
      <c r="I445" s="1">
        <v>-5.99861145018643E-5</v>
      </c>
      <c r="J445" t="str">
        <f t="shared" si="51"/>
        <v>DOWN</v>
      </c>
      <c r="K445">
        <v>1.17196600437164</v>
      </c>
      <c r="L445" s="1">
        <v>-3.99827957142662E-6</v>
      </c>
      <c r="M445" t="str">
        <f t="shared" si="52"/>
        <v>DOWN</v>
      </c>
      <c r="N445">
        <v>-1.65987014770552E-4</v>
      </c>
      <c r="O445" t="str">
        <f t="shared" si="53"/>
        <v>DOWN</v>
      </c>
      <c r="P445">
        <v>45.155032574201599</v>
      </c>
      <c r="Q445">
        <v>2.71323001851062</v>
      </c>
      <c r="R445" t="str">
        <f t="shared" si="54"/>
        <v>UP</v>
      </c>
      <c r="S445">
        <v>1.1710000038146899</v>
      </c>
      <c r="T445" t="str">
        <f t="shared" si="48"/>
        <v>DOWN</v>
      </c>
      <c r="U445">
        <v>1.1713000535964899</v>
      </c>
      <c r="V445" t="str">
        <f t="shared" si="55"/>
        <v>DOWN</v>
      </c>
      <c r="W445">
        <v>1.1722500324249201</v>
      </c>
      <c r="X445" t="str">
        <f t="shared" si="49"/>
        <v>UP</v>
      </c>
      <c r="Y445">
        <v>1.1728999614715501</v>
      </c>
      <c r="Z445" t="str">
        <f t="shared" si="50"/>
        <v>DOWN</v>
      </c>
      <c r="AA445">
        <v>0</v>
      </c>
      <c r="AB445">
        <v>1</v>
      </c>
      <c r="AC445">
        <v>0</v>
      </c>
      <c r="AD445">
        <v>0</v>
      </c>
    </row>
    <row r="446" spans="1:30" hidden="1" x14ac:dyDescent="0.35">
      <c r="A446" s="2">
        <v>45904</v>
      </c>
      <c r="B446" t="s">
        <v>23</v>
      </c>
      <c r="C446">
        <v>1.1720499992370601</v>
      </c>
      <c r="D446">
        <v>1.1725499629974301</v>
      </c>
      <c r="E446">
        <v>1.1707999706268299</v>
      </c>
      <c r="F446">
        <v>1.1714999675750699</v>
      </c>
      <c r="G446">
        <v>16567</v>
      </c>
      <c r="H446">
        <v>1.1716900110244699</v>
      </c>
      <c r="I446">
        <v>-1.10006332397549E-4</v>
      </c>
      <c r="J446" t="str">
        <f t="shared" si="51"/>
        <v>DOWN</v>
      </c>
      <c r="K446">
        <v>1.17198500394821</v>
      </c>
      <c r="L446" s="1">
        <v>1.8999576568479099E-5</v>
      </c>
      <c r="M446" t="str">
        <f t="shared" si="52"/>
        <v>UP</v>
      </c>
      <c r="N446">
        <v>-2.9499292373658098E-4</v>
      </c>
      <c r="O446" t="str">
        <f t="shared" si="53"/>
        <v>DOWN</v>
      </c>
      <c r="P446">
        <v>48.162131535956902</v>
      </c>
      <c r="Q446">
        <v>3.0070989617552901</v>
      </c>
      <c r="R446" t="str">
        <f t="shared" si="54"/>
        <v>UP</v>
      </c>
      <c r="S446">
        <v>1.17009997367858</v>
      </c>
      <c r="T446" t="str">
        <f t="shared" si="48"/>
        <v>UP</v>
      </c>
      <c r="U446">
        <v>1.1710000038146899</v>
      </c>
      <c r="V446" t="str">
        <f t="shared" si="55"/>
        <v>DOWN</v>
      </c>
      <c r="W446">
        <v>1.1727000474929801</v>
      </c>
      <c r="X446" t="str">
        <f t="shared" si="49"/>
        <v>DOWN</v>
      </c>
      <c r="Y446">
        <v>1.1722500324249201</v>
      </c>
      <c r="Z446" t="str">
        <f t="shared" si="50"/>
        <v>UP</v>
      </c>
      <c r="AA446">
        <v>0</v>
      </c>
      <c r="AB446">
        <v>0</v>
      </c>
      <c r="AC446">
        <v>0</v>
      </c>
      <c r="AD446">
        <v>0</v>
      </c>
    </row>
    <row r="447" spans="1:30" hidden="1" x14ac:dyDescent="0.35">
      <c r="A447" s="2">
        <v>45904</v>
      </c>
      <c r="B447" t="s">
        <v>24</v>
      </c>
      <c r="C447">
        <v>1.17050004005432</v>
      </c>
      <c r="D447">
        <v>1.1721999645233101</v>
      </c>
      <c r="E447">
        <v>1.17019999027252</v>
      </c>
      <c r="F447">
        <v>1.1713999509811399</v>
      </c>
      <c r="G447">
        <v>1112</v>
      </c>
      <c r="H447">
        <v>1.1715400218963601</v>
      </c>
      <c r="I447">
        <v>-1.4998912811270399E-4</v>
      </c>
      <c r="J447" t="str">
        <f t="shared" si="51"/>
        <v>DOWN</v>
      </c>
      <c r="K447">
        <v>1.1719840049743599</v>
      </c>
      <c r="L447" s="1">
        <v>-9.989738463112019E-7</v>
      </c>
      <c r="M447" t="str">
        <f t="shared" si="52"/>
        <v>DOWN</v>
      </c>
      <c r="N447">
        <v>-4.4398307800297399E-4</v>
      </c>
      <c r="O447" t="str">
        <f t="shared" si="53"/>
        <v>DOWN</v>
      </c>
      <c r="P447">
        <v>39.193481104935401</v>
      </c>
      <c r="Q447">
        <v>-8.9686504310214996</v>
      </c>
      <c r="R447" t="str">
        <f t="shared" si="54"/>
        <v>DOWN</v>
      </c>
      <c r="S447">
        <v>1.1707999706268299</v>
      </c>
      <c r="T447" t="str">
        <f t="shared" si="48"/>
        <v>DOWN</v>
      </c>
      <c r="U447">
        <v>1.17009997367858</v>
      </c>
      <c r="V447" t="str">
        <f t="shared" si="55"/>
        <v>UP</v>
      </c>
      <c r="W447">
        <v>1.1725499629974301</v>
      </c>
      <c r="X447" t="str">
        <f t="shared" si="49"/>
        <v>DOWN</v>
      </c>
      <c r="Y447">
        <v>1.1727000474929801</v>
      </c>
      <c r="Z447" t="str">
        <f t="shared" si="50"/>
        <v>DOWN</v>
      </c>
      <c r="AA447">
        <v>0</v>
      </c>
      <c r="AB447">
        <v>0</v>
      </c>
      <c r="AC447">
        <v>0</v>
      </c>
      <c r="AD447">
        <v>0</v>
      </c>
    </row>
    <row r="448" spans="1:30" hidden="1" x14ac:dyDescent="0.35">
      <c r="A448" s="2">
        <v>45904</v>
      </c>
      <c r="B448" t="s">
        <v>25</v>
      </c>
      <c r="C448">
        <v>1.1718000173568699</v>
      </c>
      <c r="D448">
        <v>1.1720000505447301</v>
      </c>
      <c r="E448">
        <v>1.17019999027252</v>
      </c>
      <c r="F448">
        <v>1.17050004005432</v>
      </c>
      <c r="G448">
        <v>1040</v>
      </c>
      <c r="H448">
        <v>1.17146003246307</v>
      </c>
      <c r="I448" s="1">
        <v>-7.9989433288574205E-5</v>
      </c>
      <c r="J448" t="str">
        <f t="shared" si="51"/>
        <v>DOWN</v>
      </c>
      <c r="K448">
        <v>1.1719780063629099</v>
      </c>
      <c r="L448" s="1">
        <v>-5.9986114502308396E-6</v>
      </c>
      <c r="M448" t="str">
        <f t="shared" si="52"/>
        <v>DOWN</v>
      </c>
      <c r="N448">
        <v>-5.1797389984131704E-4</v>
      </c>
      <c r="O448" t="str">
        <f t="shared" si="53"/>
        <v>DOWN</v>
      </c>
      <c r="P448">
        <v>47.948461184915203</v>
      </c>
      <c r="Q448">
        <v>8.7549800799797808</v>
      </c>
      <c r="R448" t="str">
        <f t="shared" si="54"/>
        <v>UP</v>
      </c>
      <c r="S448">
        <v>1.17019999027252</v>
      </c>
      <c r="T448" t="str">
        <f t="shared" si="48"/>
        <v>UP</v>
      </c>
      <c r="U448">
        <v>1.1707999706268299</v>
      </c>
      <c r="V448" t="str">
        <f t="shared" si="55"/>
        <v>DOWN</v>
      </c>
      <c r="W448">
        <v>1.1721999645233101</v>
      </c>
      <c r="X448" t="str">
        <f t="shared" si="49"/>
        <v>DOWN</v>
      </c>
      <c r="Y448">
        <v>1.1725499629974301</v>
      </c>
      <c r="Z448" t="str">
        <f t="shared" si="50"/>
        <v>DOWN</v>
      </c>
      <c r="AA448">
        <v>0</v>
      </c>
      <c r="AB448">
        <v>0</v>
      </c>
      <c r="AC448">
        <v>0</v>
      </c>
      <c r="AD448">
        <v>0</v>
      </c>
    </row>
    <row r="449" spans="1:30" hidden="1" x14ac:dyDescent="0.35">
      <c r="A449" s="2">
        <v>45904</v>
      </c>
      <c r="B449" t="s">
        <v>26</v>
      </c>
      <c r="C449">
        <v>1.1709500551223699</v>
      </c>
      <c r="D449">
        <v>1.1717000007629299</v>
      </c>
      <c r="E449">
        <v>1.17054998874664</v>
      </c>
      <c r="F449">
        <v>1.1717000007629299</v>
      </c>
      <c r="G449">
        <v>224</v>
      </c>
      <c r="H449">
        <v>1.1713900327682401</v>
      </c>
      <c r="I449" s="1">
        <v>-6.9999694824129905E-5</v>
      </c>
      <c r="J449" t="str">
        <f t="shared" si="51"/>
        <v>DOWN</v>
      </c>
      <c r="K449">
        <v>1.1720090079307499</v>
      </c>
      <c r="L449" s="1">
        <v>3.1001567840638297E-5</v>
      </c>
      <c r="M449" t="str">
        <f t="shared" si="52"/>
        <v>UP</v>
      </c>
      <c r="N449">
        <v>-6.1897516250608499E-4</v>
      </c>
      <c r="O449" t="str">
        <f t="shared" si="53"/>
        <v>DOWN</v>
      </c>
      <c r="P449">
        <v>43.534881877906599</v>
      </c>
      <c r="Q449">
        <v>-4.4135793070085896</v>
      </c>
      <c r="R449" t="str">
        <f t="shared" si="54"/>
        <v>DOWN</v>
      </c>
      <c r="S449">
        <v>1.17019999027252</v>
      </c>
      <c r="T449" t="str">
        <f t="shared" si="48"/>
        <v>UP</v>
      </c>
      <c r="U449">
        <v>1.17019999027252</v>
      </c>
      <c r="V449" t="str">
        <f t="shared" si="55"/>
        <v>UP</v>
      </c>
      <c r="W449">
        <v>1.1720000505447301</v>
      </c>
      <c r="X449" t="str">
        <f t="shared" si="49"/>
        <v>DOWN</v>
      </c>
      <c r="Y449">
        <v>1.1721999645233101</v>
      </c>
      <c r="Z449" t="str">
        <f t="shared" si="50"/>
        <v>DOWN</v>
      </c>
      <c r="AA449">
        <v>0</v>
      </c>
      <c r="AB449">
        <v>0</v>
      </c>
      <c r="AC449">
        <v>0</v>
      </c>
      <c r="AD449">
        <v>0</v>
      </c>
    </row>
    <row r="450" spans="1:30" hidden="1" x14ac:dyDescent="0.35">
      <c r="A450" s="2">
        <v>45904</v>
      </c>
      <c r="B450" t="s">
        <v>27</v>
      </c>
      <c r="C450">
        <v>1.1707500219345</v>
      </c>
      <c r="D450">
        <v>1.1710000038146899</v>
      </c>
      <c r="E450">
        <v>1.17050004005432</v>
      </c>
      <c r="F450">
        <v>1.1710000038146899</v>
      </c>
      <c r="G450">
        <v>265</v>
      </c>
      <c r="H450">
        <v>1.1712100267410199</v>
      </c>
      <c r="I450">
        <v>-1.8000602722167901E-4</v>
      </c>
      <c r="J450" t="str">
        <f t="shared" si="51"/>
        <v>DOWN</v>
      </c>
      <c r="K450">
        <v>1.1719770073890601</v>
      </c>
      <c r="L450" s="1">
        <v>-3.2000541687171503E-5</v>
      </c>
      <c r="M450" t="str">
        <f t="shared" si="52"/>
        <v>DOWN</v>
      </c>
      <c r="N450">
        <v>-7.6698064804059298E-4</v>
      </c>
      <c r="O450" t="str">
        <f t="shared" si="53"/>
        <v>DOWN</v>
      </c>
      <c r="P450">
        <v>42.542393809553303</v>
      </c>
      <c r="Q450">
        <v>-0.99248806835333103</v>
      </c>
      <c r="R450" t="str">
        <f t="shared" si="54"/>
        <v>DOWN</v>
      </c>
      <c r="S450">
        <v>1.17054998874664</v>
      </c>
      <c r="T450" t="str">
        <f t="shared" ref="T450:T513" si="56">IF((E450-S450)&lt;0,"DOWN","UP")</f>
        <v>DOWN</v>
      </c>
      <c r="U450">
        <v>1.17019999027252</v>
      </c>
      <c r="V450" t="str">
        <f t="shared" si="55"/>
        <v>UP</v>
      </c>
      <c r="W450">
        <v>1.1717000007629299</v>
      </c>
      <c r="X450" t="str">
        <f t="shared" ref="X450:X513" si="57">IF((D450-W450)&gt;0,"UP","DOWN")</f>
        <v>DOWN</v>
      </c>
      <c r="Y450">
        <v>1.1720000505447301</v>
      </c>
      <c r="Z450" t="str">
        <f t="shared" ref="Z450:Z513" si="58">IF((D450-Y450)&gt;0,"UP","DOWN")</f>
        <v>DOWN</v>
      </c>
      <c r="AA450">
        <v>0</v>
      </c>
      <c r="AB450">
        <v>0</v>
      </c>
      <c r="AC450">
        <v>0</v>
      </c>
      <c r="AD450">
        <v>0</v>
      </c>
    </row>
    <row r="451" spans="1:30" hidden="1" x14ac:dyDescent="0.35">
      <c r="A451" s="2">
        <v>45904</v>
      </c>
      <c r="B451" t="s">
        <v>38</v>
      </c>
      <c r="C451">
        <v>1.1713500022888099</v>
      </c>
      <c r="D451">
        <v>1.1717499494552599</v>
      </c>
      <c r="E451">
        <v>1.1707500219345</v>
      </c>
      <c r="F451">
        <v>1.1707999706268299</v>
      </c>
      <c r="G451">
        <v>811</v>
      </c>
      <c r="H451">
        <v>1.1710700273513699</v>
      </c>
      <c r="I451">
        <v>-1.3999938964848099E-4</v>
      </c>
      <c r="J451" t="str">
        <f t="shared" ref="J451:J514" si="59">IF(I451&gt;0,"UP","DOWN")</f>
        <v>DOWN</v>
      </c>
      <c r="K451">
        <v>1.1719310069084099</v>
      </c>
      <c r="L451" s="1">
        <v>-4.6000480651731097E-5</v>
      </c>
      <c r="M451" t="str">
        <f t="shared" ref="M451:M514" si="60">IF(L451&gt;0,"UP","DOWN")</f>
        <v>DOWN</v>
      </c>
      <c r="N451">
        <v>-8.6097955703734398E-4</v>
      </c>
      <c r="O451" t="str">
        <f t="shared" ref="O451:O514" si="61">IF(N451&gt;0,"UP","DOWN")</f>
        <v>DOWN</v>
      </c>
      <c r="P451">
        <v>46.483306845234097</v>
      </c>
      <c r="Q451">
        <v>3.9409130356808202</v>
      </c>
      <c r="R451" t="str">
        <f t="shared" ref="R451:R514" si="62">IF(Q451&gt;0,"UP","DOWN")</f>
        <v>UP</v>
      </c>
      <c r="S451">
        <v>1.17050004005432</v>
      </c>
      <c r="T451" t="str">
        <f t="shared" si="56"/>
        <v>UP</v>
      </c>
      <c r="U451">
        <v>1.17054998874664</v>
      </c>
      <c r="V451" t="str">
        <f t="shared" ref="V451:V514" si="63">IF((E451-U451)&lt;0,"DOWN","UP")</f>
        <v>UP</v>
      </c>
      <c r="W451">
        <v>1.1710000038146899</v>
      </c>
      <c r="X451" t="str">
        <f t="shared" si="57"/>
        <v>UP</v>
      </c>
      <c r="Y451">
        <v>1.1717000007629299</v>
      </c>
      <c r="Z451" t="str">
        <f t="shared" si="58"/>
        <v>UP</v>
      </c>
      <c r="AA451">
        <v>0</v>
      </c>
      <c r="AB451">
        <v>0</v>
      </c>
      <c r="AC451">
        <v>0</v>
      </c>
      <c r="AD451">
        <v>0</v>
      </c>
    </row>
    <row r="452" spans="1:30" hidden="1" x14ac:dyDescent="0.35">
      <c r="A452" s="2">
        <v>45904</v>
      </c>
      <c r="B452" t="s">
        <v>28</v>
      </c>
      <c r="C452">
        <v>1.1720999479293801</v>
      </c>
      <c r="D452">
        <v>1.1721999645233101</v>
      </c>
      <c r="E452">
        <v>1.1714999675750699</v>
      </c>
      <c r="F452">
        <v>1.1715500354766799</v>
      </c>
      <c r="G452">
        <v>185</v>
      </c>
      <c r="H452">
        <v>1.17139000892639</v>
      </c>
      <c r="I452">
        <v>3.19981575012118E-4</v>
      </c>
      <c r="J452" t="str">
        <f t="shared" si="59"/>
        <v>UP</v>
      </c>
      <c r="K452">
        <v>1.1719210052490201</v>
      </c>
      <c r="L452" s="1">
        <v>-1.00016593933549E-5</v>
      </c>
      <c r="M452" t="str">
        <f t="shared" si="60"/>
        <v>DOWN</v>
      </c>
      <c r="N452">
        <v>-5.3099632263187103E-4</v>
      </c>
      <c r="O452" t="str">
        <f t="shared" si="61"/>
        <v>DOWN</v>
      </c>
      <c r="P452">
        <v>51.006691585463201</v>
      </c>
      <c r="Q452">
        <v>4.5233847402291198</v>
      </c>
      <c r="R452" t="str">
        <f t="shared" si="62"/>
        <v>UP</v>
      </c>
      <c r="S452">
        <v>1.1707500219345</v>
      </c>
      <c r="T452" t="str">
        <f t="shared" si="56"/>
        <v>UP</v>
      </c>
      <c r="U452">
        <v>1.17050004005432</v>
      </c>
      <c r="V452" t="str">
        <f t="shared" si="63"/>
        <v>UP</v>
      </c>
      <c r="W452">
        <v>1.1717499494552599</v>
      </c>
      <c r="X452" t="str">
        <f t="shared" si="57"/>
        <v>UP</v>
      </c>
      <c r="Y452">
        <v>1.1710000038146899</v>
      </c>
      <c r="Z452" t="str">
        <f t="shared" si="58"/>
        <v>UP</v>
      </c>
      <c r="AA452">
        <v>0</v>
      </c>
      <c r="AB452">
        <v>0</v>
      </c>
      <c r="AC452">
        <v>0</v>
      </c>
      <c r="AD452">
        <v>0</v>
      </c>
    </row>
    <row r="453" spans="1:30" hidden="1" x14ac:dyDescent="0.35">
      <c r="A453" s="2">
        <v>45904</v>
      </c>
      <c r="B453" t="s">
        <v>39</v>
      </c>
      <c r="C453">
        <v>1.1719499826431199</v>
      </c>
      <c r="D453">
        <v>1.1722500324249201</v>
      </c>
      <c r="E453">
        <v>1.1719000339507999</v>
      </c>
      <c r="F453">
        <v>1.1720999479293801</v>
      </c>
      <c r="G453">
        <v>68</v>
      </c>
      <c r="H453">
        <v>1.17142000198364</v>
      </c>
      <c r="I453" s="1">
        <v>2.9993057250932099E-5</v>
      </c>
      <c r="J453" t="str">
        <f t="shared" si="59"/>
        <v>UP</v>
      </c>
      <c r="K453">
        <v>1.1719250059127799</v>
      </c>
      <c r="L453" s="1">
        <v>4.0006637573863904E-6</v>
      </c>
      <c r="M453" t="str">
        <f t="shared" si="60"/>
        <v>UP</v>
      </c>
      <c r="N453">
        <v>-5.0500392913832505E-4</v>
      </c>
      <c r="O453" t="str">
        <f t="shared" si="61"/>
        <v>DOWN</v>
      </c>
      <c r="P453">
        <v>50.0948632310647</v>
      </c>
      <c r="Q453">
        <v>-0.91182835439848697</v>
      </c>
      <c r="R453" t="str">
        <f t="shared" si="62"/>
        <v>DOWN</v>
      </c>
      <c r="S453">
        <v>1.1714999675750699</v>
      </c>
      <c r="T453" t="str">
        <f t="shared" si="56"/>
        <v>UP</v>
      </c>
      <c r="U453">
        <v>1.1707500219345</v>
      </c>
      <c r="V453" t="str">
        <f t="shared" si="63"/>
        <v>UP</v>
      </c>
      <c r="W453">
        <v>1.1721999645233101</v>
      </c>
      <c r="X453" t="str">
        <f t="shared" si="57"/>
        <v>UP</v>
      </c>
      <c r="Y453">
        <v>1.1717499494552599</v>
      </c>
      <c r="Z453" t="str">
        <f t="shared" si="58"/>
        <v>UP</v>
      </c>
      <c r="AA453">
        <v>0</v>
      </c>
      <c r="AB453">
        <v>0</v>
      </c>
      <c r="AC453">
        <v>0</v>
      </c>
      <c r="AD453">
        <v>0</v>
      </c>
    </row>
    <row r="454" spans="1:30" hidden="1" x14ac:dyDescent="0.35">
      <c r="A454" s="2">
        <v>45904</v>
      </c>
      <c r="B454" t="s">
        <v>40</v>
      </c>
      <c r="C454">
        <v>1.1719499826431199</v>
      </c>
      <c r="D454">
        <v>1.1721999645233101</v>
      </c>
      <c r="E454">
        <v>1.1718499660491899</v>
      </c>
      <c r="F454">
        <v>1.1721999645233101</v>
      </c>
      <c r="G454">
        <v>0</v>
      </c>
      <c r="H454">
        <v>1.1716199874877899</v>
      </c>
      <c r="I454">
        <v>1.9998550415056799E-4</v>
      </c>
      <c r="J454" t="str">
        <f t="shared" si="59"/>
        <v>UP</v>
      </c>
      <c r="K454">
        <v>1.1719330048561001</v>
      </c>
      <c r="L454" s="1">
        <v>7.9989433288130096E-6</v>
      </c>
      <c r="M454" t="str">
        <f t="shared" si="60"/>
        <v>UP</v>
      </c>
      <c r="N454">
        <v>-3.1301736831657002E-4</v>
      </c>
      <c r="O454" t="str">
        <f t="shared" si="61"/>
        <v>DOWN</v>
      </c>
      <c r="P454">
        <v>50.0948632310647</v>
      </c>
      <c r="Q454">
        <v>0</v>
      </c>
      <c r="R454" t="str">
        <f t="shared" si="62"/>
        <v>DOWN</v>
      </c>
      <c r="S454">
        <v>1.1719000339507999</v>
      </c>
      <c r="T454" t="str">
        <f t="shared" si="56"/>
        <v>DOWN</v>
      </c>
      <c r="U454">
        <v>1.1714999675750699</v>
      </c>
      <c r="V454" t="str">
        <f t="shared" si="63"/>
        <v>UP</v>
      </c>
      <c r="W454">
        <v>1.1722500324249201</v>
      </c>
      <c r="X454" t="str">
        <f t="shared" si="57"/>
        <v>DOWN</v>
      </c>
      <c r="Y454">
        <v>1.1721999645233101</v>
      </c>
      <c r="Z454" t="str">
        <f t="shared" si="58"/>
        <v>DOWN</v>
      </c>
      <c r="AA454">
        <v>0</v>
      </c>
      <c r="AB454">
        <v>0</v>
      </c>
      <c r="AC454">
        <v>0</v>
      </c>
      <c r="AD454">
        <v>0</v>
      </c>
    </row>
    <row r="455" spans="1:30" hidden="1" x14ac:dyDescent="0.35">
      <c r="A455" s="2">
        <v>45904</v>
      </c>
      <c r="B455" t="s">
        <v>42</v>
      </c>
      <c r="C455">
        <v>1.1726000308990401</v>
      </c>
      <c r="D455">
        <v>1.1727000474929801</v>
      </c>
      <c r="E455">
        <v>1.1719000339507999</v>
      </c>
      <c r="F455">
        <v>1.1719000339507999</v>
      </c>
      <c r="G455">
        <v>100</v>
      </c>
      <c r="H455">
        <v>1.1719899892807</v>
      </c>
      <c r="I455">
        <v>3.7000179290758102E-4</v>
      </c>
      <c r="J455" t="str">
        <f t="shared" si="59"/>
        <v>UP</v>
      </c>
      <c r="K455">
        <v>1.1719700050354001</v>
      </c>
      <c r="L455" s="1">
        <v>3.7000179290869103E-5</v>
      </c>
      <c r="M455" t="str">
        <f t="shared" si="60"/>
        <v>UP</v>
      </c>
      <c r="N455" s="1">
        <v>1.99842453001419E-5</v>
      </c>
      <c r="O455" t="str">
        <f t="shared" si="61"/>
        <v>UP</v>
      </c>
      <c r="P455">
        <v>54.209969839691801</v>
      </c>
      <c r="Q455">
        <v>4.11510660862705</v>
      </c>
      <c r="R455" t="str">
        <f t="shared" si="62"/>
        <v>UP</v>
      </c>
      <c r="S455">
        <v>1.1718499660491899</v>
      </c>
      <c r="T455" t="str">
        <f t="shared" si="56"/>
        <v>UP</v>
      </c>
      <c r="U455">
        <v>1.1719000339507999</v>
      </c>
      <c r="V455" t="str">
        <f t="shared" si="63"/>
        <v>UP</v>
      </c>
      <c r="W455">
        <v>1.1721999645233101</v>
      </c>
      <c r="X455" t="str">
        <f t="shared" si="57"/>
        <v>UP</v>
      </c>
      <c r="Y455">
        <v>1.1722500324249201</v>
      </c>
      <c r="Z455" t="str">
        <f t="shared" si="58"/>
        <v>UP</v>
      </c>
      <c r="AA455">
        <v>0</v>
      </c>
      <c r="AB455">
        <v>0</v>
      </c>
      <c r="AC455">
        <v>0</v>
      </c>
      <c r="AD455">
        <v>0</v>
      </c>
    </row>
    <row r="456" spans="1:30" hidden="1" x14ac:dyDescent="0.35">
      <c r="A456" s="2">
        <v>45905</v>
      </c>
      <c r="B456" t="s">
        <v>29</v>
      </c>
      <c r="C456">
        <v>1.1729500293731601</v>
      </c>
      <c r="D456">
        <v>1.1729999780654901</v>
      </c>
      <c r="E456">
        <v>1.1722999811172401</v>
      </c>
      <c r="F456">
        <v>1.1727000474929801</v>
      </c>
      <c r="G456">
        <v>140</v>
      </c>
      <c r="H456">
        <v>1.1723099946975699</v>
      </c>
      <c r="I456">
        <v>3.20005416870161E-4</v>
      </c>
      <c r="J456" t="str">
        <f t="shared" si="59"/>
        <v>UP</v>
      </c>
      <c r="K456">
        <v>1.1720000052452</v>
      </c>
      <c r="L456" s="1">
        <v>3.0000209808145301E-5</v>
      </c>
      <c r="M456" t="str">
        <f t="shared" si="60"/>
        <v>UP</v>
      </c>
      <c r="N456">
        <v>3.0998945236215798E-4</v>
      </c>
      <c r="O456" t="str">
        <f t="shared" si="61"/>
        <v>UP</v>
      </c>
      <c r="P456">
        <v>56.299402837808501</v>
      </c>
      <c r="Q456">
        <v>2.0894329981167301</v>
      </c>
      <c r="R456" t="str">
        <f t="shared" si="62"/>
        <v>UP</v>
      </c>
      <c r="S456">
        <v>1.1719000339507999</v>
      </c>
      <c r="T456" t="str">
        <f t="shared" si="56"/>
        <v>UP</v>
      </c>
      <c r="U456">
        <v>1.1718499660491899</v>
      </c>
      <c r="V456" t="str">
        <f t="shared" si="63"/>
        <v>UP</v>
      </c>
      <c r="W456">
        <v>1.1727000474929801</v>
      </c>
      <c r="X456" t="str">
        <f t="shared" si="57"/>
        <v>UP</v>
      </c>
      <c r="Y456">
        <v>1.1721999645233101</v>
      </c>
      <c r="Z456" t="str">
        <f t="shared" si="58"/>
        <v>UP</v>
      </c>
      <c r="AA456">
        <v>0</v>
      </c>
      <c r="AB456">
        <v>1</v>
      </c>
      <c r="AC456">
        <v>0</v>
      </c>
      <c r="AD456">
        <v>0</v>
      </c>
    </row>
    <row r="457" spans="1:30" hidden="1" x14ac:dyDescent="0.35">
      <c r="A457" s="2">
        <v>45905</v>
      </c>
      <c r="B457" t="s">
        <v>30</v>
      </c>
      <c r="C457">
        <v>1.17394995689392</v>
      </c>
      <c r="D457">
        <v>1.17410004138946</v>
      </c>
      <c r="E457">
        <v>1.1729500293731601</v>
      </c>
      <c r="F457">
        <v>1.1729500293731601</v>
      </c>
      <c r="G457">
        <v>167</v>
      </c>
      <c r="H457">
        <v>1.1726799964904699</v>
      </c>
      <c r="I457">
        <v>3.7000179290780301E-4</v>
      </c>
      <c r="J457" t="str">
        <f t="shared" si="59"/>
        <v>UP</v>
      </c>
      <c r="K457">
        <v>1.1720510053634601</v>
      </c>
      <c r="L457" s="1">
        <v>5.1000118255650701E-5</v>
      </c>
      <c r="M457" t="str">
        <f t="shared" si="60"/>
        <v>UP</v>
      </c>
      <c r="N457">
        <v>6.2899112701431104E-4</v>
      </c>
      <c r="O457" t="str">
        <f t="shared" si="61"/>
        <v>UP</v>
      </c>
      <c r="P457">
        <v>61.679343810093897</v>
      </c>
      <c r="Q457">
        <v>5.37994097228533</v>
      </c>
      <c r="R457" t="str">
        <f t="shared" si="62"/>
        <v>UP</v>
      </c>
      <c r="S457">
        <v>1.1722999811172401</v>
      </c>
      <c r="T457" t="str">
        <f t="shared" si="56"/>
        <v>UP</v>
      </c>
      <c r="U457">
        <v>1.1719000339507999</v>
      </c>
      <c r="V457" t="str">
        <f t="shared" si="63"/>
        <v>UP</v>
      </c>
      <c r="W457">
        <v>1.1729999780654901</v>
      </c>
      <c r="X457" t="str">
        <f t="shared" si="57"/>
        <v>UP</v>
      </c>
      <c r="Y457">
        <v>1.1727000474929801</v>
      </c>
      <c r="Z457" t="str">
        <f t="shared" si="58"/>
        <v>UP</v>
      </c>
      <c r="AA457">
        <v>0</v>
      </c>
      <c r="AB457">
        <v>0</v>
      </c>
      <c r="AC457">
        <v>0</v>
      </c>
      <c r="AD457">
        <v>0</v>
      </c>
    </row>
    <row r="458" spans="1:30" hidden="1" x14ac:dyDescent="0.35">
      <c r="A458" s="2">
        <v>45905</v>
      </c>
      <c r="B458" t="s">
        <v>31</v>
      </c>
      <c r="C458">
        <v>1.17379999160766</v>
      </c>
      <c r="D458">
        <v>1.17435002326965</v>
      </c>
      <c r="E458">
        <v>1.17379999160766</v>
      </c>
      <c r="F458">
        <v>1.17394995689392</v>
      </c>
      <c r="G458">
        <v>78</v>
      </c>
      <c r="H458">
        <v>1.17304999828338</v>
      </c>
      <c r="I458">
        <v>3.7000179290758102E-4</v>
      </c>
      <c r="J458" t="str">
        <f t="shared" si="59"/>
        <v>UP</v>
      </c>
      <c r="K458">
        <v>1.1721070051193201</v>
      </c>
      <c r="L458" s="1">
        <v>5.59997558593483E-5</v>
      </c>
      <c r="M458" t="str">
        <f t="shared" si="60"/>
        <v>UP</v>
      </c>
      <c r="N458">
        <v>9.4299316406254398E-4</v>
      </c>
      <c r="O458" t="str">
        <f t="shared" si="61"/>
        <v>UP</v>
      </c>
      <c r="P458">
        <v>60.476840892402002</v>
      </c>
      <c r="Q458">
        <v>-1.2025029176919</v>
      </c>
      <c r="R458" t="str">
        <f t="shared" si="62"/>
        <v>DOWN</v>
      </c>
      <c r="S458">
        <v>1.1729500293731601</v>
      </c>
      <c r="T458" t="str">
        <f t="shared" si="56"/>
        <v>UP</v>
      </c>
      <c r="U458">
        <v>1.1722999811172401</v>
      </c>
      <c r="V458" t="str">
        <f t="shared" si="63"/>
        <v>UP</v>
      </c>
      <c r="W458">
        <v>1.17410004138946</v>
      </c>
      <c r="X458" t="str">
        <f t="shared" si="57"/>
        <v>UP</v>
      </c>
      <c r="Y458">
        <v>1.1729999780654901</v>
      </c>
      <c r="Z458" t="str">
        <f t="shared" si="58"/>
        <v>UP</v>
      </c>
      <c r="AA458">
        <v>0</v>
      </c>
      <c r="AB458">
        <v>0</v>
      </c>
      <c r="AC458">
        <v>0</v>
      </c>
      <c r="AD458">
        <v>0</v>
      </c>
    </row>
    <row r="459" spans="1:30" hidden="1" x14ac:dyDescent="0.35">
      <c r="A459" s="2">
        <v>45905</v>
      </c>
      <c r="B459" t="s">
        <v>32</v>
      </c>
      <c r="C459">
        <v>1.17410004138946</v>
      </c>
      <c r="D459">
        <v>1.17410004138946</v>
      </c>
      <c r="E459">
        <v>1.17365002632141</v>
      </c>
      <c r="F459">
        <v>1.17375004291534</v>
      </c>
      <c r="G459">
        <v>42</v>
      </c>
      <c r="H459">
        <v>1.1734800100326499</v>
      </c>
      <c r="I459">
        <v>4.3001174926771103E-4</v>
      </c>
      <c r="J459" t="str">
        <f t="shared" si="59"/>
        <v>UP</v>
      </c>
      <c r="K459">
        <v>1.1721760058402999</v>
      </c>
      <c r="L459" s="1">
        <v>6.9000720977818703E-5</v>
      </c>
      <c r="M459" t="str">
        <f t="shared" si="60"/>
        <v>UP</v>
      </c>
      <c r="N459">
        <v>1.3040041923524301E-3</v>
      </c>
      <c r="O459" t="str">
        <f t="shared" si="61"/>
        <v>UP</v>
      </c>
      <c r="P459">
        <v>62.070201892431797</v>
      </c>
      <c r="Q459">
        <v>1.5933610000298799</v>
      </c>
      <c r="R459" t="str">
        <f t="shared" si="62"/>
        <v>UP</v>
      </c>
      <c r="S459">
        <v>1.17379999160766</v>
      </c>
      <c r="T459" t="str">
        <f t="shared" si="56"/>
        <v>DOWN</v>
      </c>
      <c r="U459">
        <v>1.1729500293731601</v>
      </c>
      <c r="V459" t="str">
        <f t="shared" si="63"/>
        <v>UP</v>
      </c>
      <c r="W459">
        <v>1.17435002326965</v>
      </c>
      <c r="X459" t="str">
        <f t="shared" si="57"/>
        <v>DOWN</v>
      </c>
      <c r="Y459">
        <v>1.17410004138946</v>
      </c>
      <c r="Z459" t="str">
        <f t="shared" si="58"/>
        <v>DOWN</v>
      </c>
      <c r="AA459">
        <v>0</v>
      </c>
      <c r="AB459">
        <v>0</v>
      </c>
      <c r="AC459">
        <v>0</v>
      </c>
      <c r="AD459">
        <v>0</v>
      </c>
    </row>
    <row r="460" spans="1:30" hidden="1" x14ac:dyDescent="0.35">
      <c r="A460" s="2">
        <v>45905</v>
      </c>
      <c r="B460" t="s">
        <v>33</v>
      </c>
      <c r="C460">
        <v>1.17365002632141</v>
      </c>
      <c r="D460">
        <v>1.17404997348785</v>
      </c>
      <c r="E460">
        <v>1.17349994182586</v>
      </c>
      <c r="F460">
        <v>1.17404997348785</v>
      </c>
      <c r="G460">
        <v>29</v>
      </c>
      <c r="H460">
        <v>1.1736900091171201</v>
      </c>
      <c r="I460">
        <v>2.09999084472611E-4</v>
      </c>
      <c r="J460" t="str">
        <f t="shared" si="59"/>
        <v>UP</v>
      </c>
      <c r="K460">
        <v>1.1722370052337601</v>
      </c>
      <c r="L460" s="1">
        <v>6.0999393463267898E-5</v>
      </c>
      <c r="M460" t="str">
        <f t="shared" si="60"/>
        <v>UP</v>
      </c>
      <c r="N460">
        <v>1.45300388336178E-3</v>
      </c>
      <c r="O460" t="str">
        <f t="shared" si="61"/>
        <v>UP</v>
      </c>
      <c r="P460">
        <v>58.275587771216301</v>
      </c>
      <c r="Q460">
        <v>-3.79461412121548</v>
      </c>
      <c r="R460" t="str">
        <f t="shared" si="62"/>
        <v>DOWN</v>
      </c>
      <c r="S460">
        <v>1.17365002632141</v>
      </c>
      <c r="T460" t="str">
        <f t="shared" si="56"/>
        <v>DOWN</v>
      </c>
      <c r="U460">
        <v>1.17379999160766</v>
      </c>
      <c r="V460" t="str">
        <f t="shared" si="63"/>
        <v>DOWN</v>
      </c>
      <c r="W460">
        <v>1.17410004138946</v>
      </c>
      <c r="X460" t="str">
        <f t="shared" si="57"/>
        <v>DOWN</v>
      </c>
      <c r="Y460">
        <v>1.17435002326965</v>
      </c>
      <c r="Z460" t="str">
        <f t="shared" si="58"/>
        <v>DOWN</v>
      </c>
      <c r="AA460">
        <v>0</v>
      </c>
      <c r="AB460">
        <v>0</v>
      </c>
      <c r="AC460">
        <v>0</v>
      </c>
      <c r="AD460">
        <v>0</v>
      </c>
    </row>
    <row r="461" spans="1:30" hidden="1" x14ac:dyDescent="0.35">
      <c r="A461" s="2">
        <v>45905</v>
      </c>
      <c r="B461" t="s">
        <v>41</v>
      </c>
      <c r="C461">
        <v>1.17470002174377</v>
      </c>
      <c r="D461">
        <v>1.17470002174377</v>
      </c>
      <c r="E461">
        <v>1.17375004291534</v>
      </c>
      <c r="F461">
        <v>1.17375004291534</v>
      </c>
      <c r="G461">
        <v>100</v>
      </c>
      <c r="H461">
        <v>1.1740400075912401</v>
      </c>
      <c r="I461">
        <v>3.4999847412109299E-4</v>
      </c>
      <c r="J461" t="str">
        <f t="shared" si="59"/>
        <v>UP</v>
      </c>
      <c r="K461">
        <v>1.17232600450515</v>
      </c>
      <c r="L461" s="1">
        <v>8.8999271392831107E-5</v>
      </c>
      <c r="M461" t="str">
        <f t="shared" si="60"/>
        <v>UP</v>
      </c>
      <c r="N461">
        <v>1.71400308609004E-3</v>
      </c>
      <c r="O461" t="str">
        <f t="shared" si="61"/>
        <v>UP</v>
      </c>
      <c r="P461">
        <v>63.831551184254202</v>
      </c>
      <c r="Q461">
        <v>5.5559634130378903</v>
      </c>
      <c r="R461" t="str">
        <f t="shared" si="62"/>
        <v>UP</v>
      </c>
      <c r="S461">
        <v>1.17349994182586</v>
      </c>
      <c r="T461" t="str">
        <f t="shared" si="56"/>
        <v>UP</v>
      </c>
      <c r="U461">
        <v>1.17365002632141</v>
      </c>
      <c r="V461" t="str">
        <f t="shared" si="63"/>
        <v>UP</v>
      </c>
      <c r="W461">
        <v>1.17404997348785</v>
      </c>
      <c r="X461" t="str">
        <f t="shared" si="57"/>
        <v>UP</v>
      </c>
      <c r="Y461">
        <v>1.17410004138946</v>
      </c>
      <c r="Z461" t="str">
        <f t="shared" si="58"/>
        <v>UP</v>
      </c>
      <c r="AA461">
        <v>0</v>
      </c>
      <c r="AB461">
        <v>0</v>
      </c>
      <c r="AC461">
        <v>0</v>
      </c>
      <c r="AD461">
        <v>0</v>
      </c>
    </row>
    <row r="462" spans="1:30" hidden="1" x14ac:dyDescent="0.35">
      <c r="A462" s="2">
        <v>45905</v>
      </c>
      <c r="B462" t="s">
        <v>34</v>
      </c>
      <c r="C462">
        <v>1.17394995689392</v>
      </c>
      <c r="D462">
        <v>1.17464995384216</v>
      </c>
      <c r="E462">
        <v>1.17349994182586</v>
      </c>
      <c r="F462">
        <v>1.17460000514984</v>
      </c>
      <c r="G462">
        <v>196</v>
      </c>
      <c r="H462">
        <v>1.1740400075912401</v>
      </c>
      <c r="I462">
        <v>0</v>
      </c>
      <c r="J462" t="str">
        <f t="shared" si="59"/>
        <v>DOWN</v>
      </c>
      <c r="K462">
        <v>1.1724050045013401</v>
      </c>
      <c r="L462" s="1">
        <v>7.8999996185213903E-5</v>
      </c>
      <c r="M462" t="str">
        <f t="shared" si="60"/>
        <v>UP</v>
      </c>
      <c r="N462">
        <v>1.63500308990482E-3</v>
      </c>
      <c r="O462" t="str">
        <f t="shared" si="61"/>
        <v>UP</v>
      </c>
      <c r="P462">
        <v>57.900303239445698</v>
      </c>
      <c r="Q462">
        <v>-5.9312479448085504</v>
      </c>
      <c r="R462" t="str">
        <f t="shared" si="62"/>
        <v>DOWN</v>
      </c>
      <c r="S462">
        <v>1.17375004291534</v>
      </c>
      <c r="T462" t="str">
        <f t="shared" si="56"/>
        <v>DOWN</v>
      </c>
      <c r="U462">
        <v>1.17349994182586</v>
      </c>
      <c r="V462" t="str">
        <f t="shared" si="63"/>
        <v>UP</v>
      </c>
      <c r="W462">
        <v>1.17470002174377</v>
      </c>
      <c r="X462" t="str">
        <f t="shared" si="57"/>
        <v>DOWN</v>
      </c>
      <c r="Y462">
        <v>1.17404997348785</v>
      </c>
      <c r="Z462" t="str">
        <f t="shared" si="58"/>
        <v>UP</v>
      </c>
      <c r="AA462">
        <v>0</v>
      </c>
      <c r="AB462">
        <v>0</v>
      </c>
      <c r="AC462">
        <v>0</v>
      </c>
      <c r="AD462">
        <v>0</v>
      </c>
    </row>
    <row r="463" spans="1:30" hidden="1" x14ac:dyDescent="0.35">
      <c r="A463" s="2">
        <v>45905</v>
      </c>
      <c r="B463" t="s">
        <v>35</v>
      </c>
      <c r="C463">
        <v>1.17470002174377</v>
      </c>
      <c r="D463">
        <v>1.1748000383377</v>
      </c>
      <c r="E463">
        <v>1.17369997501373</v>
      </c>
      <c r="F463">
        <v>1.17385005950927</v>
      </c>
      <c r="G463">
        <v>733</v>
      </c>
      <c r="H463">
        <v>1.17422001361846</v>
      </c>
      <c r="I463">
        <v>1.8000602722167901E-4</v>
      </c>
      <c r="J463" t="str">
        <f t="shared" si="59"/>
        <v>UP</v>
      </c>
      <c r="K463">
        <v>1.172506005764</v>
      </c>
      <c r="L463">
        <v>1.0100126266476801E-4</v>
      </c>
      <c r="M463" t="str">
        <f t="shared" si="60"/>
        <v>UP</v>
      </c>
      <c r="N463">
        <v>1.7140078544617399E-3</v>
      </c>
      <c r="O463" t="str">
        <f t="shared" si="61"/>
        <v>UP</v>
      </c>
      <c r="P463">
        <v>61.729915343572301</v>
      </c>
      <c r="Q463">
        <v>3.82961210412665</v>
      </c>
      <c r="R463" t="str">
        <f t="shared" si="62"/>
        <v>UP</v>
      </c>
      <c r="S463">
        <v>1.17349994182586</v>
      </c>
      <c r="T463" t="str">
        <f t="shared" si="56"/>
        <v>UP</v>
      </c>
      <c r="U463">
        <v>1.17375004291534</v>
      </c>
      <c r="V463" t="str">
        <f t="shared" si="63"/>
        <v>DOWN</v>
      </c>
      <c r="W463">
        <v>1.17464995384216</v>
      </c>
      <c r="X463" t="str">
        <f t="shared" si="57"/>
        <v>UP</v>
      </c>
      <c r="Y463">
        <v>1.17470002174377</v>
      </c>
      <c r="Z463" t="str">
        <f t="shared" si="58"/>
        <v>UP</v>
      </c>
      <c r="AA463">
        <v>0</v>
      </c>
      <c r="AB463">
        <v>0</v>
      </c>
      <c r="AC463">
        <v>0</v>
      </c>
      <c r="AD463">
        <v>0</v>
      </c>
    </row>
    <row r="464" spans="1:30" hidden="1" x14ac:dyDescent="0.35">
      <c r="A464" s="2">
        <v>45905</v>
      </c>
      <c r="B464" t="s">
        <v>36</v>
      </c>
      <c r="C464">
        <v>1.1751999855041499</v>
      </c>
      <c r="D464">
        <v>1.1753499507903999</v>
      </c>
      <c r="E464">
        <v>1.1744999885559</v>
      </c>
      <c r="F464">
        <v>1.17460000514984</v>
      </c>
      <c r="G464">
        <v>4952</v>
      </c>
      <c r="H464">
        <v>1.1744400024413999</v>
      </c>
      <c r="I464">
        <v>2.1998882293705599E-4</v>
      </c>
      <c r="J464" t="str">
        <f t="shared" si="59"/>
        <v>UP</v>
      </c>
      <c r="K464">
        <v>1.1726010060310299</v>
      </c>
      <c r="L464" s="1">
        <v>9.5000267028799698E-5</v>
      </c>
      <c r="M464" t="str">
        <f t="shared" si="60"/>
        <v>UP</v>
      </c>
      <c r="N464">
        <v>1.83899641036999E-3</v>
      </c>
      <c r="O464" t="str">
        <f t="shared" si="61"/>
        <v>UP</v>
      </c>
      <c r="P464">
        <v>64.075701968373295</v>
      </c>
      <c r="Q464">
        <v>2.34578662480099</v>
      </c>
      <c r="R464" t="str">
        <f t="shared" si="62"/>
        <v>UP</v>
      </c>
      <c r="S464">
        <v>1.17369997501373</v>
      </c>
      <c r="T464" t="str">
        <f t="shared" si="56"/>
        <v>UP</v>
      </c>
      <c r="U464">
        <v>1.17349994182586</v>
      </c>
      <c r="V464" t="str">
        <f t="shared" si="63"/>
        <v>UP</v>
      </c>
      <c r="W464">
        <v>1.1748000383377</v>
      </c>
      <c r="X464" t="str">
        <f t="shared" si="57"/>
        <v>UP</v>
      </c>
      <c r="Y464">
        <v>1.17464995384216</v>
      </c>
      <c r="Z464" t="str">
        <f t="shared" si="58"/>
        <v>UP</v>
      </c>
      <c r="AA464">
        <v>0</v>
      </c>
      <c r="AB464">
        <v>0</v>
      </c>
      <c r="AC464">
        <v>0</v>
      </c>
      <c r="AD464">
        <v>0</v>
      </c>
    </row>
    <row r="465" spans="1:30" hidden="1" x14ac:dyDescent="0.35">
      <c r="A465" s="2">
        <v>45905</v>
      </c>
      <c r="B465" t="s">
        <v>37</v>
      </c>
      <c r="C465">
        <v>1.1756999492645199</v>
      </c>
      <c r="D465">
        <v>1.1762000322341899</v>
      </c>
      <c r="E465">
        <v>1.17505002021789</v>
      </c>
      <c r="F465">
        <v>1.1752500534057599</v>
      </c>
      <c r="G465">
        <v>1690</v>
      </c>
      <c r="H465">
        <v>1.17484998703002</v>
      </c>
      <c r="I465">
        <v>4.09984588622958E-4</v>
      </c>
      <c r="J465" t="str">
        <f t="shared" si="59"/>
        <v>UP</v>
      </c>
      <c r="K465">
        <v>1.1727130055427499</v>
      </c>
      <c r="L465">
        <v>1.11999511718696E-4</v>
      </c>
      <c r="M465" t="str">
        <f t="shared" si="60"/>
        <v>UP</v>
      </c>
      <c r="N465">
        <v>2.1369814872742501E-3</v>
      </c>
      <c r="O465" t="str">
        <f t="shared" si="61"/>
        <v>UP</v>
      </c>
      <c r="P465">
        <v>66.300243551309904</v>
      </c>
      <c r="Q465">
        <v>2.2245415829365802</v>
      </c>
      <c r="R465" t="str">
        <f t="shared" si="62"/>
        <v>UP</v>
      </c>
      <c r="S465">
        <v>1.1744999885559</v>
      </c>
      <c r="T465" t="str">
        <f t="shared" si="56"/>
        <v>UP</v>
      </c>
      <c r="U465">
        <v>1.17369997501373</v>
      </c>
      <c r="V465" t="str">
        <f t="shared" si="63"/>
        <v>UP</v>
      </c>
      <c r="W465">
        <v>1.1753499507903999</v>
      </c>
      <c r="X465" t="str">
        <f t="shared" si="57"/>
        <v>UP</v>
      </c>
      <c r="Y465">
        <v>1.1748000383377</v>
      </c>
      <c r="Z465" t="str">
        <f t="shared" si="58"/>
        <v>UP</v>
      </c>
      <c r="AA465">
        <v>0</v>
      </c>
      <c r="AB465">
        <v>0</v>
      </c>
      <c r="AC465">
        <v>0</v>
      </c>
      <c r="AD465">
        <v>0</v>
      </c>
    </row>
    <row r="466" spans="1:30" hidden="1" x14ac:dyDescent="0.35">
      <c r="A466" s="2">
        <v>45905</v>
      </c>
      <c r="B466" t="s">
        <v>20</v>
      </c>
      <c r="C466">
        <v>1.1761499643325799</v>
      </c>
      <c r="D466">
        <v>1.1765999794006301</v>
      </c>
      <c r="E466">
        <v>1.1756500005721999</v>
      </c>
      <c r="F466">
        <v>1.1757500171661299</v>
      </c>
      <c r="G466">
        <v>650</v>
      </c>
      <c r="H466">
        <v>1.17513997554779</v>
      </c>
      <c r="I466">
        <v>2.8998851776118601E-4</v>
      </c>
      <c r="J466" t="str">
        <f t="shared" si="59"/>
        <v>UP</v>
      </c>
      <c r="K466">
        <v>1.1728240036964399</v>
      </c>
      <c r="L466">
        <v>1.10998153686647E-4</v>
      </c>
      <c r="M466" t="str">
        <f t="shared" si="60"/>
        <v>UP</v>
      </c>
      <c r="N466">
        <v>2.3159718513487901E-3</v>
      </c>
      <c r="O466" t="str">
        <f t="shared" si="61"/>
        <v>UP</v>
      </c>
      <c r="P466">
        <v>68.208498887610602</v>
      </c>
      <c r="Q466">
        <v>1.90825533630071</v>
      </c>
      <c r="R466" t="str">
        <f t="shared" si="62"/>
        <v>UP</v>
      </c>
      <c r="S466">
        <v>1.17505002021789</v>
      </c>
      <c r="T466" t="str">
        <f t="shared" si="56"/>
        <v>UP</v>
      </c>
      <c r="U466">
        <v>1.1744999885559</v>
      </c>
      <c r="V466" t="str">
        <f t="shared" si="63"/>
        <v>UP</v>
      </c>
      <c r="W466">
        <v>1.1762000322341899</v>
      </c>
      <c r="X466" t="str">
        <f t="shared" si="57"/>
        <v>UP</v>
      </c>
      <c r="Y466">
        <v>1.1753499507903999</v>
      </c>
      <c r="Z466" t="str">
        <f t="shared" si="58"/>
        <v>UP</v>
      </c>
      <c r="AA466">
        <v>0</v>
      </c>
      <c r="AB466">
        <v>0</v>
      </c>
      <c r="AC466">
        <v>0</v>
      </c>
      <c r="AD466">
        <v>0</v>
      </c>
    </row>
    <row r="467" spans="1:30" hidden="1" x14ac:dyDescent="0.35">
      <c r="A467" s="2">
        <v>45905</v>
      </c>
      <c r="B467" t="s">
        <v>21</v>
      </c>
      <c r="C467">
        <v>1.1756500005721999</v>
      </c>
      <c r="D467">
        <v>1.1761000156402499</v>
      </c>
      <c r="E467">
        <v>1.17474997043609</v>
      </c>
      <c r="F467">
        <v>1.1761000156402499</v>
      </c>
      <c r="G467">
        <v>8568</v>
      </c>
      <c r="H467">
        <v>1.17547998428344</v>
      </c>
      <c r="I467">
        <v>3.4000873565687102E-4</v>
      </c>
      <c r="J467" t="str">
        <f t="shared" si="59"/>
        <v>UP</v>
      </c>
      <c r="K467">
        <v>1.17292200326919</v>
      </c>
      <c r="L467" s="1">
        <v>9.7999572753915105E-5</v>
      </c>
      <c r="M467" t="str">
        <f t="shared" si="60"/>
        <v>UP</v>
      </c>
      <c r="N467">
        <v>2.5579810142517499E-3</v>
      </c>
      <c r="O467" t="str">
        <f t="shared" si="61"/>
        <v>UP</v>
      </c>
      <c r="P467">
        <v>63.880620927911799</v>
      </c>
      <c r="Q467">
        <v>-4.3278779596988297</v>
      </c>
      <c r="R467" t="str">
        <f t="shared" si="62"/>
        <v>DOWN</v>
      </c>
      <c r="S467">
        <v>1.1756500005721999</v>
      </c>
      <c r="T467" t="str">
        <f t="shared" si="56"/>
        <v>DOWN</v>
      </c>
      <c r="U467">
        <v>1.17505002021789</v>
      </c>
      <c r="V467" t="str">
        <f t="shared" si="63"/>
        <v>DOWN</v>
      </c>
      <c r="W467">
        <v>1.1765999794006301</v>
      </c>
      <c r="X467" t="str">
        <f t="shared" si="57"/>
        <v>DOWN</v>
      </c>
      <c r="Y467">
        <v>1.1762000322341899</v>
      </c>
      <c r="Z467" t="str">
        <f t="shared" si="58"/>
        <v>DOWN</v>
      </c>
      <c r="AA467">
        <v>0</v>
      </c>
      <c r="AB467">
        <v>0</v>
      </c>
      <c r="AC467">
        <v>0</v>
      </c>
      <c r="AD467">
        <v>0</v>
      </c>
    </row>
    <row r="468" spans="1:30" hidden="1" x14ac:dyDescent="0.35">
      <c r="A468" s="2">
        <v>45905</v>
      </c>
      <c r="B468" t="s">
        <v>22</v>
      </c>
      <c r="C468">
        <v>1.1802500486373899</v>
      </c>
      <c r="D468">
        <v>1.1820000410079901</v>
      </c>
      <c r="E468">
        <v>1.1756000518798799</v>
      </c>
      <c r="F468">
        <v>1.1757999658584499</v>
      </c>
      <c r="G468">
        <v>10307</v>
      </c>
      <c r="H468">
        <v>1.1765899896621701</v>
      </c>
      <c r="I468">
        <v>1.11000537872296E-3</v>
      </c>
      <c r="J468" t="str">
        <f t="shared" si="59"/>
        <v>UP</v>
      </c>
      <c r="K468">
        <v>1.1730680036544801</v>
      </c>
      <c r="L468">
        <v>1.4600038528445001E-4</v>
      </c>
      <c r="M468" t="str">
        <f t="shared" si="60"/>
        <v>UP</v>
      </c>
      <c r="N468">
        <v>3.5219860076902698E-3</v>
      </c>
      <c r="O468" t="str">
        <f t="shared" si="61"/>
        <v>UP</v>
      </c>
      <c r="P468">
        <v>77.823215861847999</v>
      </c>
      <c r="Q468">
        <v>13.9425949339361</v>
      </c>
      <c r="R468" t="str">
        <f t="shared" si="62"/>
        <v>UP</v>
      </c>
      <c r="S468">
        <v>1.17474997043609</v>
      </c>
      <c r="T468" t="str">
        <f t="shared" si="56"/>
        <v>UP</v>
      </c>
      <c r="U468">
        <v>1.1756500005721999</v>
      </c>
      <c r="V468" t="str">
        <f t="shared" si="63"/>
        <v>DOWN</v>
      </c>
      <c r="W468">
        <v>1.1761000156402499</v>
      </c>
      <c r="X468" t="str">
        <f t="shared" si="57"/>
        <v>UP</v>
      </c>
      <c r="Y468">
        <v>1.1765999794006301</v>
      </c>
      <c r="Z468" t="str">
        <f t="shared" si="58"/>
        <v>UP</v>
      </c>
      <c r="AA468">
        <v>0</v>
      </c>
      <c r="AB468">
        <v>0</v>
      </c>
      <c r="AC468">
        <v>1</v>
      </c>
      <c r="AD468">
        <v>0</v>
      </c>
    </row>
    <row r="469" spans="1:30" hidden="1" x14ac:dyDescent="0.35">
      <c r="A469" s="2">
        <v>45905</v>
      </c>
      <c r="B469" t="s">
        <v>23</v>
      </c>
      <c r="C469">
        <v>1.1816999912261901</v>
      </c>
      <c r="D469">
        <v>1.1819000244140601</v>
      </c>
      <c r="E469">
        <v>1.1782499551773</v>
      </c>
      <c r="F469">
        <v>1.1804000139236399</v>
      </c>
      <c r="G469">
        <v>21411</v>
      </c>
      <c r="H469">
        <v>1.1778899908065701</v>
      </c>
      <c r="I469">
        <v>1.3000011444093101E-3</v>
      </c>
      <c r="J469" t="str">
        <f t="shared" si="59"/>
        <v>UP</v>
      </c>
      <c r="K469">
        <v>1.1732430028915399</v>
      </c>
      <c r="L469">
        <v>1.7499923706054601E-4</v>
      </c>
      <c r="M469" t="str">
        <f t="shared" si="60"/>
        <v>UP</v>
      </c>
      <c r="N469">
        <v>4.6469879150390298E-3</v>
      </c>
      <c r="O469" t="str">
        <f t="shared" si="61"/>
        <v>UP</v>
      </c>
      <c r="P469">
        <v>80.392429611176198</v>
      </c>
      <c r="Q469">
        <v>2.5692137493282101</v>
      </c>
      <c r="R469" t="str">
        <f t="shared" si="62"/>
        <v>UP</v>
      </c>
      <c r="S469">
        <v>1.1756000518798799</v>
      </c>
      <c r="T469" t="str">
        <f t="shared" si="56"/>
        <v>UP</v>
      </c>
      <c r="U469">
        <v>1.17474997043609</v>
      </c>
      <c r="V469" t="str">
        <f t="shared" si="63"/>
        <v>UP</v>
      </c>
      <c r="W469">
        <v>1.1820000410079901</v>
      </c>
      <c r="X469" t="str">
        <f t="shared" si="57"/>
        <v>DOWN</v>
      </c>
      <c r="Y469">
        <v>1.1761000156402499</v>
      </c>
      <c r="Z469" t="str">
        <f t="shared" si="58"/>
        <v>UP</v>
      </c>
      <c r="AA469">
        <v>0</v>
      </c>
      <c r="AB469">
        <v>0</v>
      </c>
      <c r="AC469">
        <v>0</v>
      </c>
      <c r="AD469">
        <v>0</v>
      </c>
    </row>
    <row r="470" spans="1:30" hidden="1" x14ac:dyDescent="0.35">
      <c r="A470" s="2">
        <v>45905</v>
      </c>
      <c r="B470" t="s">
        <v>24</v>
      </c>
      <c r="C470">
        <v>1.1805000305175699</v>
      </c>
      <c r="D470">
        <v>1.18270003795623</v>
      </c>
      <c r="E470">
        <v>1.17910003662109</v>
      </c>
      <c r="F470">
        <v>1.1817500591278001</v>
      </c>
      <c r="G470">
        <v>2322</v>
      </c>
      <c r="H470">
        <v>1.1788500070571899</v>
      </c>
      <c r="I470">
        <v>9.6001625061026199E-4</v>
      </c>
      <c r="J470" t="str">
        <f t="shared" si="59"/>
        <v>UP</v>
      </c>
      <c r="K470">
        <v>1.1734190034866301</v>
      </c>
      <c r="L470">
        <v>1.7600059509259499E-4</v>
      </c>
      <c r="M470" t="str">
        <f t="shared" si="60"/>
        <v>UP</v>
      </c>
      <c r="N470">
        <v>5.4310035705567002E-3</v>
      </c>
      <c r="O470" t="str">
        <f t="shared" si="61"/>
        <v>UP</v>
      </c>
      <c r="P470">
        <v>72.868536482780399</v>
      </c>
      <c r="Q470">
        <v>-7.5238931283957902</v>
      </c>
      <c r="R470" t="str">
        <f t="shared" si="62"/>
        <v>DOWN</v>
      </c>
      <c r="S470">
        <v>1.1782499551773</v>
      </c>
      <c r="T470" t="str">
        <f t="shared" si="56"/>
        <v>UP</v>
      </c>
      <c r="U470">
        <v>1.1756000518798799</v>
      </c>
      <c r="V470" t="str">
        <f t="shared" si="63"/>
        <v>UP</v>
      </c>
      <c r="W470">
        <v>1.1819000244140601</v>
      </c>
      <c r="X470" t="str">
        <f t="shared" si="57"/>
        <v>UP</v>
      </c>
      <c r="Y470">
        <v>1.1820000410079901</v>
      </c>
      <c r="Z470" t="str">
        <f t="shared" si="58"/>
        <v>UP</v>
      </c>
      <c r="AA470">
        <v>0</v>
      </c>
      <c r="AB470">
        <v>0</v>
      </c>
      <c r="AC470">
        <v>0</v>
      </c>
      <c r="AD470">
        <v>0</v>
      </c>
    </row>
    <row r="471" spans="1:30" hidden="1" x14ac:dyDescent="0.35">
      <c r="A471" s="2">
        <v>45905</v>
      </c>
      <c r="B471" t="s">
        <v>25</v>
      </c>
      <c r="C471">
        <v>1.18270003795623</v>
      </c>
      <c r="D471">
        <v>1.18270003795623</v>
      </c>
      <c r="E471">
        <v>1.1804499626159599</v>
      </c>
      <c r="F471">
        <v>1.1804499626159599</v>
      </c>
      <c r="G471">
        <v>3857</v>
      </c>
      <c r="H471">
        <v>1.1801600217819199</v>
      </c>
      <c r="I471">
        <v>1.3100147247315701E-3</v>
      </c>
      <c r="J471" t="str">
        <f t="shared" si="59"/>
        <v>UP</v>
      </c>
      <c r="K471">
        <v>1.1736250042915299</v>
      </c>
      <c r="L471">
        <v>2.06000804901185E-4</v>
      </c>
      <c r="M471" t="str">
        <f t="shared" si="60"/>
        <v>UP</v>
      </c>
      <c r="N471">
        <v>6.53501749038709E-3</v>
      </c>
      <c r="O471" t="str">
        <f t="shared" si="61"/>
        <v>UP</v>
      </c>
      <c r="P471">
        <v>77.100116386443204</v>
      </c>
      <c r="Q471">
        <v>4.2315799036628601</v>
      </c>
      <c r="R471" t="str">
        <f t="shared" si="62"/>
        <v>UP</v>
      </c>
      <c r="S471">
        <v>1.17910003662109</v>
      </c>
      <c r="T471" t="str">
        <f t="shared" si="56"/>
        <v>UP</v>
      </c>
      <c r="U471">
        <v>1.1782499551773</v>
      </c>
      <c r="V471" t="str">
        <f t="shared" si="63"/>
        <v>UP</v>
      </c>
      <c r="W471">
        <v>1.18270003795623</v>
      </c>
      <c r="X471" t="str">
        <f t="shared" si="57"/>
        <v>DOWN</v>
      </c>
      <c r="Y471">
        <v>1.1819000244140601</v>
      </c>
      <c r="Z471" t="str">
        <f t="shared" si="58"/>
        <v>UP</v>
      </c>
      <c r="AA471">
        <v>0</v>
      </c>
      <c r="AB471">
        <v>0</v>
      </c>
      <c r="AC471">
        <v>1</v>
      </c>
      <c r="AD471">
        <v>0</v>
      </c>
    </row>
    <row r="472" spans="1:30" hidden="1" x14ac:dyDescent="0.35">
      <c r="A472" s="2">
        <v>45905</v>
      </c>
      <c r="B472" t="s">
        <v>26</v>
      </c>
      <c r="C472">
        <v>1.1807500123977599</v>
      </c>
      <c r="D472">
        <v>1.18274998664855</v>
      </c>
      <c r="E472">
        <v>1.1805000305175699</v>
      </c>
      <c r="F472">
        <v>1.1826000213623</v>
      </c>
      <c r="G472">
        <v>1612</v>
      </c>
      <c r="H472">
        <v>1.18118002414703</v>
      </c>
      <c r="I472">
        <v>1.0200023651121199E-3</v>
      </c>
      <c r="J472" t="str">
        <f t="shared" si="59"/>
        <v>UP</v>
      </c>
      <c r="K472">
        <v>1.1737980055809001</v>
      </c>
      <c r="L472">
        <v>1.7300128936770199E-4</v>
      </c>
      <c r="M472" t="str">
        <f t="shared" si="60"/>
        <v>UP</v>
      </c>
      <c r="N472">
        <v>7.3820185661315199E-3</v>
      </c>
      <c r="O472" t="str">
        <f t="shared" si="61"/>
        <v>UP</v>
      </c>
      <c r="P472">
        <v>67.109061835558705</v>
      </c>
      <c r="Q472">
        <v>-9.9910545508845701</v>
      </c>
      <c r="R472" t="str">
        <f t="shared" si="62"/>
        <v>DOWN</v>
      </c>
      <c r="S472">
        <v>1.1804499626159599</v>
      </c>
      <c r="T472" t="str">
        <f t="shared" si="56"/>
        <v>UP</v>
      </c>
      <c r="U472">
        <v>1.17910003662109</v>
      </c>
      <c r="V472" t="str">
        <f t="shared" si="63"/>
        <v>UP</v>
      </c>
      <c r="W472">
        <v>1.18270003795623</v>
      </c>
      <c r="X472" t="str">
        <f t="shared" si="57"/>
        <v>UP</v>
      </c>
      <c r="Y472">
        <v>1.18270003795623</v>
      </c>
      <c r="Z472" t="str">
        <f t="shared" si="58"/>
        <v>UP</v>
      </c>
      <c r="AA472">
        <v>1</v>
      </c>
      <c r="AB472">
        <v>0</v>
      </c>
      <c r="AC472">
        <v>0</v>
      </c>
      <c r="AD472">
        <v>0</v>
      </c>
    </row>
    <row r="473" spans="1:30" hidden="1" x14ac:dyDescent="0.35">
      <c r="A473" s="2">
        <v>45905</v>
      </c>
      <c r="B473" t="s">
        <v>27</v>
      </c>
      <c r="C473">
        <v>1.17945003509521</v>
      </c>
      <c r="D473">
        <v>1.1806499958038299</v>
      </c>
      <c r="E473">
        <v>1.17935001850128</v>
      </c>
      <c r="F473">
        <v>1.1806499958038299</v>
      </c>
      <c r="G473">
        <v>616</v>
      </c>
      <c r="H473">
        <v>1.18102002143859</v>
      </c>
      <c r="I473">
        <v>-1.6000270843496899E-4</v>
      </c>
      <c r="J473" t="str">
        <f t="shared" si="59"/>
        <v>DOWN</v>
      </c>
      <c r="K473">
        <v>1.17394000530242</v>
      </c>
      <c r="L473">
        <v>1.41999721527064E-4</v>
      </c>
      <c r="M473" t="str">
        <f t="shared" si="60"/>
        <v>UP</v>
      </c>
      <c r="N473">
        <v>7.0800161361694799E-3</v>
      </c>
      <c r="O473" t="str">
        <f t="shared" si="61"/>
        <v>UP</v>
      </c>
      <c r="P473">
        <v>61.397111944498498</v>
      </c>
      <c r="Q473">
        <v>-5.7119498910601996</v>
      </c>
      <c r="R473" t="str">
        <f t="shared" si="62"/>
        <v>DOWN</v>
      </c>
      <c r="S473">
        <v>1.1805000305175699</v>
      </c>
      <c r="T473" t="str">
        <f t="shared" si="56"/>
        <v>DOWN</v>
      </c>
      <c r="U473">
        <v>1.1804499626159599</v>
      </c>
      <c r="V473" t="str">
        <f t="shared" si="63"/>
        <v>DOWN</v>
      </c>
      <c r="W473">
        <v>1.18274998664855</v>
      </c>
      <c r="X473" t="str">
        <f t="shared" si="57"/>
        <v>DOWN</v>
      </c>
      <c r="Y473">
        <v>1.18270003795623</v>
      </c>
      <c r="Z473" t="str">
        <f t="shared" si="58"/>
        <v>DOWN</v>
      </c>
      <c r="AA473">
        <v>0</v>
      </c>
      <c r="AB473">
        <v>0</v>
      </c>
      <c r="AC473">
        <v>0</v>
      </c>
      <c r="AD473">
        <v>0</v>
      </c>
    </row>
    <row r="474" spans="1:30" hidden="1" x14ac:dyDescent="0.35">
      <c r="A474" s="2">
        <v>45905</v>
      </c>
      <c r="B474" t="s">
        <v>38</v>
      </c>
      <c r="C474">
        <v>1.1785500049591</v>
      </c>
      <c r="D474">
        <v>1.17945003509521</v>
      </c>
      <c r="E474">
        <v>1.17830002307891</v>
      </c>
      <c r="F474">
        <v>1.1793999671936</v>
      </c>
      <c r="G474">
        <v>1525</v>
      </c>
      <c r="H474">
        <v>1.1803900241851799</v>
      </c>
      <c r="I474">
        <v>-6.2999725341805703E-4</v>
      </c>
      <c r="J474" t="str">
        <f t="shared" si="59"/>
        <v>DOWN</v>
      </c>
      <c r="K474">
        <v>1.1740370059013301</v>
      </c>
      <c r="L474" s="1">
        <v>9.7000598907603903E-5</v>
      </c>
      <c r="M474" t="str">
        <f t="shared" si="60"/>
        <v>UP</v>
      </c>
      <c r="N474">
        <v>6.3530182838438202E-3</v>
      </c>
      <c r="O474" t="str">
        <f t="shared" si="61"/>
        <v>UP</v>
      </c>
      <c r="P474">
        <v>57.733281005289399</v>
      </c>
      <c r="Q474">
        <v>-3.6638309392090398</v>
      </c>
      <c r="R474" t="str">
        <f t="shared" si="62"/>
        <v>DOWN</v>
      </c>
      <c r="S474">
        <v>1.17935001850128</v>
      </c>
      <c r="T474" t="str">
        <f t="shared" si="56"/>
        <v>DOWN</v>
      </c>
      <c r="U474">
        <v>1.1805000305175699</v>
      </c>
      <c r="V474" t="str">
        <f t="shared" si="63"/>
        <v>DOWN</v>
      </c>
      <c r="W474">
        <v>1.1806499958038299</v>
      </c>
      <c r="X474" t="str">
        <f t="shared" si="57"/>
        <v>DOWN</v>
      </c>
      <c r="Y474">
        <v>1.18274998664855</v>
      </c>
      <c r="Z474" t="str">
        <f t="shared" si="58"/>
        <v>DOWN</v>
      </c>
      <c r="AA474">
        <v>0</v>
      </c>
      <c r="AB474">
        <v>0</v>
      </c>
      <c r="AC474">
        <v>0</v>
      </c>
      <c r="AD474">
        <v>0</v>
      </c>
    </row>
    <row r="475" spans="1:30" hidden="1" x14ac:dyDescent="0.35">
      <c r="A475" s="2">
        <v>45905</v>
      </c>
      <c r="B475" t="s">
        <v>28</v>
      </c>
      <c r="C475">
        <v>1.17850005626678</v>
      </c>
      <c r="D475">
        <v>1.17910003662109</v>
      </c>
      <c r="E475">
        <v>1.17815005779266</v>
      </c>
      <c r="F475">
        <v>1.1785500049591</v>
      </c>
      <c r="G475">
        <v>345</v>
      </c>
      <c r="H475">
        <v>1.1799900293350201</v>
      </c>
      <c r="I475">
        <v>-3.9999485015851301E-4</v>
      </c>
      <c r="J475" t="str">
        <f t="shared" si="59"/>
        <v>DOWN</v>
      </c>
      <c r="K475">
        <v>1.17411300659179</v>
      </c>
      <c r="L475" s="1">
        <v>7.6000690460098497E-5</v>
      </c>
      <c r="M475" t="str">
        <f t="shared" si="60"/>
        <v>UP</v>
      </c>
      <c r="N475">
        <v>5.8770227432252096E-3</v>
      </c>
      <c r="O475" t="str">
        <f t="shared" si="61"/>
        <v>UP</v>
      </c>
      <c r="P475">
        <v>57.5281084195435</v>
      </c>
      <c r="Q475">
        <v>-0.20517258574595501</v>
      </c>
      <c r="R475" t="str">
        <f t="shared" si="62"/>
        <v>DOWN</v>
      </c>
      <c r="S475">
        <v>1.17830002307891</v>
      </c>
      <c r="T475" t="str">
        <f t="shared" si="56"/>
        <v>DOWN</v>
      </c>
      <c r="U475">
        <v>1.17935001850128</v>
      </c>
      <c r="V475" t="str">
        <f t="shared" si="63"/>
        <v>DOWN</v>
      </c>
      <c r="W475">
        <v>1.17945003509521</v>
      </c>
      <c r="X475" t="str">
        <f t="shared" si="57"/>
        <v>DOWN</v>
      </c>
      <c r="Y475">
        <v>1.1806499958038299</v>
      </c>
      <c r="Z475" t="str">
        <f t="shared" si="58"/>
        <v>DOWN</v>
      </c>
      <c r="AA475">
        <v>0</v>
      </c>
      <c r="AB475">
        <v>0</v>
      </c>
      <c r="AC475">
        <v>0</v>
      </c>
      <c r="AD475">
        <v>0</v>
      </c>
    </row>
    <row r="476" spans="1:30" hidden="1" x14ac:dyDescent="0.35">
      <c r="A476" s="2">
        <v>45905</v>
      </c>
      <c r="B476" t="s">
        <v>39</v>
      </c>
      <c r="C476">
        <v>1.17844998836517</v>
      </c>
      <c r="D476">
        <v>1.17900002002716</v>
      </c>
      <c r="E476">
        <v>1.17840003967285</v>
      </c>
      <c r="F476">
        <v>1.17859995365142</v>
      </c>
      <c r="G476">
        <v>290</v>
      </c>
      <c r="H476">
        <v>1.1791400194168</v>
      </c>
      <c r="I476">
        <v>-8.5000991821293503E-4</v>
      </c>
      <c r="J476" t="str">
        <f t="shared" si="59"/>
        <v>DOWN</v>
      </c>
      <c r="K476">
        <v>1.17418500661849</v>
      </c>
      <c r="L476" s="1">
        <v>7.2000026702934096E-5</v>
      </c>
      <c r="M476" t="str">
        <f t="shared" si="60"/>
        <v>UP</v>
      </c>
      <c r="N476">
        <v>4.9550127983093396E-3</v>
      </c>
      <c r="O476" t="str">
        <f t="shared" si="61"/>
        <v>UP</v>
      </c>
      <c r="P476">
        <v>57.308256511352901</v>
      </c>
      <c r="Q476">
        <v>-0.21985190819058401</v>
      </c>
      <c r="R476" t="str">
        <f t="shared" si="62"/>
        <v>DOWN</v>
      </c>
      <c r="S476">
        <v>1.17815005779266</v>
      </c>
      <c r="T476" t="str">
        <f t="shared" si="56"/>
        <v>UP</v>
      </c>
      <c r="U476">
        <v>1.17830002307891</v>
      </c>
      <c r="V476" t="str">
        <f t="shared" si="63"/>
        <v>UP</v>
      </c>
      <c r="W476">
        <v>1.17910003662109</v>
      </c>
      <c r="X476" t="str">
        <f t="shared" si="57"/>
        <v>DOWN</v>
      </c>
      <c r="Y476">
        <v>1.17945003509521</v>
      </c>
      <c r="Z476" t="str">
        <f t="shared" si="58"/>
        <v>DOWN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s="2">
        <v>45907</v>
      </c>
      <c r="B477" t="s">
        <v>40</v>
      </c>
      <c r="C477">
        <v>1.1773999929428101</v>
      </c>
      <c r="D477">
        <v>1.17894995212554</v>
      </c>
      <c r="E477">
        <v>1.1771500110626201</v>
      </c>
      <c r="F477">
        <v>1.17879998683929</v>
      </c>
      <c r="G477">
        <v>194</v>
      </c>
      <c r="H477">
        <v>1.1784700155258101</v>
      </c>
      <c r="I477">
        <v>-6.7000389099125502E-4</v>
      </c>
      <c r="J477" t="str">
        <f t="shared" si="59"/>
        <v>DOWN</v>
      </c>
      <c r="K477">
        <v>1.17426500558853</v>
      </c>
      <c r="L477" s="1">
        <v>7.9998970031747095E-5</v>
      </c>
      <c r="M477" t="str">
        <f t="shared" si="60"/>
        <v>UP</v>
      </c>
      <c r="N477">
        <v>4.2050099372863397E-3</v>
      </c>
      <c r="O477" t="str">
        <f t="shared" si="61"/>
        <v>UP</v>
      </c>
      <c r="P477">
        <v>52.754957976717897</v>
      </c>
      <c r="Q477">
        <v>-4.5532985346350197</v>
      </c>
      <c r="R477" t="str">
        <f t="shared" si="62"/>
        <v>DOWN</v>
      </c>
      <c r="S477">
        <v>1.17840003967285</v>
      </c>
      <c r="T477" t="str">
        <f t="shared" si="56"/>
        <v>DOWN</v>
      </c>
      <c r="U477">
        <v>1.17815005779266</v>
      </c>
      <c r="V477" t="str">
        <f t="shared" si="63"/>
        <v>DOWN</v>
      </c>
      <c r="W477">
        <v>1.17900002002716</v>
      </c>
      <c r="X477" t="str">
        <f t="shared" si="57"/>
        <v>DOWN</v>
      </c>
      <c r="Y477">
        <v>1.17910003662109</v>
      </c>
      <c r="Z477" t="str">
        <f t="shared" si="58"/>
        <v>DOWN</v>
      </c>
      <c r="AA477">
        <v>1</v>
      </c>
      <c r="AB477">
        <v>1</v>
      </c>
      <c r="AC477">
        <v>0</v>
      </c>
      <c r="AD477">
        <v>0</v>
      </c>
    </row>
    <row r="478" spans="1:30" hidden="1" x14ac:dyDescent="0.35">
      <c r="A478" s="2">
        <v>45907</v>
      </c>
      <c r="B478" t="s">
        <v>42</v>
      </c>
      <c r="C478">
        <v>1.17805004119873</v>
      </c>
      <c r="D478">
        <v>1.1782499551773</v>
      </c>
      <c r="E478">
        <v>1.1774499416351301</v>
      </c>
      <c r="F478">
        <v>1.1776000261306701</v>
      </c>
      <c r="G478">
        <v>836</v>
      </c>
      <c r="H478">
        <v>1.17819001674652</v>
      </c>
      <c r="I478">
        <v>-2.79998779296963E-4</v>
      </c>
      <c r="J478" t="str">
        <f t="shared" si="59"/>
        <v>DOWN</v>
      </c>
      <c r="K478">
        <v>1.1743570065498301</v>
      </c>
      <c r="L478" s="1">
        <v>9.2000961303684197E-5</v>
      </c>
      <c r="M478" t="str">
        <f t="shared" si="60"/>
        <v>UP</v>
      </c>
      <c r="N478">
        <v>3.8330101966856898E-3</v>
      </c>
      <c r="O478" t="str">
        <f t="shared" si="61"/>
        <v>UP</v>
      </c>
      <c r="P478">
        <v>55.131748722871301</v>
      </c>
      <c r="Q478">
        <v>2.3767907461534299</v>
      </c>
      <c r="R478" t="str">
        <f t="shared" si="62"/>
        <v>UP</v>
      </c>
      <c r="S478">
        <v>1.1771500110626201</v>
      </c>
      <c r="T478" t="str">
        <f t="shared" si="56"/>
        <v>UP</v>
      </c>
      <c r="U478">
        <v>1.17840003967285</v>
      </c>
      <c r="V478" t="str">
        <f t="shared" si="63"/>
        <v>DOWN</v>
      </c>
      <c r="W478">
        <v>1.17894995212554</v>
      </c>
      <c r="X478" t="str">
        <f t="shared" si="57"/>
        <v>DOWN</v>
      </c>
      <c r="Y478">
        <v>1.17900002002716</v>
      </c>
      <c r="Z478" t="str">
        <f t="shared" si="58"/>
        <v>DOWN</v>
      </c>
      <c r="AA478">
        <v>0</v>
      </c>
      <c r="AB478">
        <v>0</v>
      </c>
      <c r="AC478">
        <v>0</v>
      </c>
      <c r="AD478">
        <v>0</v>
      </c>
    </row>
    <row r="479" spans="1:30" hidden="1" x14ac:dyDescent="0.35">
      <c r="A479" s="2">
        <v>45908</v>
      </c>
      <c r="B479" t="s">
        <v>29</v>
      </c>
      <c r="C479">
        <v>1.17809998989105</v>
      </c>
      <c r="D479">
        <v>1.17809998989105</v>
      </c>
      <c r="E479">
        <v>1.1772500276565501</v>
      </c>
      <c r="F479">
        <v>1.17780005931854</v>
      </c>
      <c r="G479">
        <v>120</v>
      </c>
      <c r="H479">
        <v>1.1781000137329101</v>
      </c>
      <c r="I479" s="1">
        <v>-9.0003013610839803E-5</v>
      </c>
      <c r="J479" t="str">
        <f t="shared" si="59"/>
        <v>DOWN</v>
      </c>
      <c r="K479">
        <v>1.17445500612258</v>
      </c>
      <c r="L479" s="1">
        <v>9.7999572753915105E-5</v>
      </c>
      <c r="M479" t="str">
        <f t="shared" si="60"/>
        <v>UP</v>
      </c>
      <c r="N479">
        <v>3.6450076103209301E-3</v>
      </c>
      <c r="O479" t="str">
        <f t="shared" si="61"/>
        <v>UP</v>
      </c>
      <c r="P479">
        <v>55.317757261394497</v>
      </c>
      <c r="Q479">
        <v>0.186008538523218</v>
      </c>
      <c r="R479" t="str">
        <f t="shared" si="62"/>
        <v>UP</v>
      </c>
      <c r="S479">
        <v>1.1774499416351301</v>
      </c>
      <c r="T479" t="str">
        <f t="shared" si="56"/>
        <v>DOWN</v>
      </c>
      <c r="U479">
        <v>1.1771500110626201</v>
      </c>
      <c r="V479" t="str">
        <f t="shared" si="63"/>
        <v>UP</v>
      </c>
      <c r="W479">
        <v>1.1782499551773</v>
      </c>
      <c r="X479" t="str">
        <f t="shared" si="57"/>
        <v>DOWN</v>
      </c>
      <c r="Y479">
        <v>1.17894995212554</v>
      </c>
      <c r="Z479" t="str">
        <f t="shared" si="58"/>
        <v>DOWN</v>
      </c>
      <c r="AA479">
        <v>0</v>
      </c>
      <c r="AB479">
        <v>1</v>
      </c>
      <c r="AC479">
        <v>0</v>
      </c>
      <c r="AD479">
        <v>0</v>
      </c>
    </row>
    <row r="480" spans="1:30" hidden="1" x14ac:dyDescent="0.35">
      <c r="A480" s="2">
        <v>45908</v>
      </c>
      <c r="B480" t="s">
        <v>30</v>
      </c>
      <c r="C480">
        <v>1.17795002460479</v>
      </c>
      <c r="D480">
        <v>1.17834997177124</v>
      </c>
      <c r="E480">
        <v>1.1775000095367401</v>
      </c>
      <c r="F480">
        <v>1.17809998989105</v>
      </c>
      <c r="G480">
        <v>1333</v>
      </c>
      <c r="H480">
        <v>1.1779900074005101</v>
      </c>
      <c r="I480">
        <v>-1.1000633239732701E-4</v>
      </c>
      <c r="J480" t="str">
        <f t="shared" si="59"/>
        <v>DOWN</v>
      </c>
      <c r="K480">
        <v>1.1745490074157701</v>
      </c>
      <c r="L480" s="1">
        <v>9.4001293182266398E-5</v>
      </c>
      <c r="M480" t="str">
        <f t="shared" si="60"/>
        <v>UP</v>
      </c>
      <c r="N480">
        <v>3.4409999847413398E-3</v>
      </c>
      <c r="O480" t="str">
        <f t="shared" si="61"/>
        <v>UP</v>
      </c>
      <c r="P480">
        <v>54.586067718507103</v>
      </c>
      <c r="Q480">
        <v>-0.73168954288745802</v>
      </c>
      <c r="R480" t="str">
        <f t="shared" si="62"/>
        <v>DOWN</v>
      </c>
      <c r="S480">
        <v>1.1772500276565501</v>
      </c>
      <c r="T480" t="str">
        <f t="shared" si="56"/>
        <v>UP</v>
      </c>
      <c r="U480">
        <v>1.1774499416351301</v>
      </c>
      <c r="V480" t="str">
        <f t="shared" si="63"/>
        <v>UP</v>
      </c>
      <c r="W480">
        <v>1.17809998989105</v>
      </c>
      <c r="X480" t="str">
        <f t="shared" si="57"/>
        <v>UP</v>
      </c>
      <c r="Y480">
        <v>1.1782499551773</v>
      </c>
      <c r="Z480" t="str">
        <f t="shared" si="58"/>
        <v>UP</v>
      </c>
      <c r="AA480">
        <v>0</v>
      </c>
      <c r="AB480">
        <v>0</v>
      </c>
      <c r="AC480">
        <v>0</v>
      </c>
      <c r="AD480">
        <v>0</v>
      </c>
    </row>
    <row r="481" spans="1:30" hidden="1" x14ac:dyDescent="0.35">
      <c r="A481" s="2">
        <v>45908</v>
      </c>
      <c r="B481" t="s">
        <v>31</v>
      </c>
      <c r="C481">
        <v>1.1782499551773</v>
      </c>
      <c r="D481">
        <v>1.17840003967285</v>
      </c>
      <c r="E481">
        <v>1.17774999141693</v>
      </c>
      <c r="F481">
        <v>1.17809998989105</v>
      </c>
      <c r="G481">
        <v>357</v>
      </c>
      <c r="H481">
        <v>1.17795000076293</v>
      </c>
      <c r="I481" s="1">
        <v>-4.0006637573197697E-5</v>
      </c>
      <c r="J481" t="str">
        <f t="shared" si="59"/>
        <v>DOWN</v>
      </c>
      <c r="K481">
        <v>1.17465100765228</v>
      </c>
      <c r="L481">
        <v>1.0200023651130099E-4</v>
      </c>
      <c r="M481" t="str">
        <f t="shared" si="60"/>
        <v>UP</v>
      </c>
      <c r="N481">
        <v>3.2989931106568401E-3</v>
      </c>
      <c r="O481" t="str">
        <f t="shared" si="61"/>
        <v>UP</v>
      </c>
      <c r="P481">
        <v>55.8440265447447</v>
      </c>
      <c r="Q481">
        <v>1.25795882623759</v>
      </c>
      <c r="R481" t="str">
        <f t="shared" si="62"/>
        <v>UP</v>
      </c>
      <c r="S481">
        <v>1.1775000095367401</v>
      </c>
      <c r="T481" t="str">
        <f t="shared" si="56"/>
        <v>UP</v>
      </c>
      <c r="U481">
        <v>1.1772500276565501</v>
      </c>
      <c r="V481" t="str">
        <f t="shared" si="63"/>
        <v>UP</v>
      </c>
      <c r="W481">
        <v>1.17834997177124</v>
      </c>
      <c r="X481" t="str">
        <f t="shared" si="57"/>
        <v>UP</v>
      </c>
      <c r="Y481">
        <v>1.17809998989105</v>
      </c>
      <c r="Z481" t="str">
        <f t="shared" si="58"/>
        <v>UP</v>
      </c>
      <c r="AA481">
        <v>0</v>
      </c>
      <c r="AB481">
        <v>0</v>
      </c>
      <c r="AC481">
        <v>0</v>
      </c>
      <c r="AD481">
        <v>0</v>
      </c>
    </row>
    <row r="482" spans="1:30" hidden="1" x14ac:dyDescent="0.35">
      <c r="A482" s="2">
        <v>45908</v>
      </c>
      <c r="B482" t="s">
        <v>32</v>
      </c>
      <c r="C482">
        <v>1.1777000427246</v>
      </c>
      <c r="D482">
        <v>1.1782499551773</v>
      </c>
      <c r="E482">
        <v>1.1775499582290601</v>
      </c>
      <c r="F482">
        <v>1.17809998989105</v>
      </c>
      <c r="G482">
        <v>51</v>
      </c>
      <c r="H482">
        <v>1.1780100107192899</v>
      </c>
      <c r="I482" s="1">
        <v>6.0009956359685598E-5</v>
      </c>
      <c r="J482" t="str">
        <f t="shared" si="59"/>
        <v>UP</v>
      </c>
      <c r="K482">
        <v>1.1747410082817</v>
      </c>
      <c r="L482" s="1">
        <v>9.0000629425102105E-5</v>
      </c>
      <c r="M482" t="str">
        <f t="shared" si="60"/>
        <v>UP</v>
      </c>
      <c r="N482">
        <v>3.2690024375914201E-3</v>
      </c>
      <c r="O482" t="str">
        <f t="shared" si="61"/>
        <v>UP</v>
      </c>
      <c r="P482">
        <v>52.948114804084803</v>
      </c>
      <c r="Q482">
        <v>-2.8959117406598498</v>
      </c>
      <c r="R482" t="str">
        <f t="shared" si="62"/>
        <v>DOWN</v>
      </c>
      <c r="S482">
        <v>1.17774999141693</v>
      </c>
      <c r="T482" t="str">
        <f t="shared" si="56"/>
        <v>DOWN</v>
      </c>
      <c r="U482">
        <v>1.1775000095367401</v>
      </c>
      <c r="V482" t="str">
        <f t="shared" si="63"/>
        <v>UP</v>
      </c>
      <c r="W482">
        <v>1.17840003967285</v>
      </c>
      <c r="X482" t="str">
        <f t="shared" si="57"/>
        <v>DOWN</v>
      </c>
      <c r="Y482">
        <v>1.17834997177124</v>
      </c>
      <c r="Z482" t="str">
        <f t="shared" si="58"/>
        <v>DOWN</v>
      </c>
      <c r="AA482">
        <v>0</v>
      </c>
      <c r="AB482">
        <v>0</v>
      </c>
      <c r="AC482">
        <v>0</v>
      </c>
      <c r="AD482">
        <v>0</v>
      </c>
    </row>
    <row r="483" spans="1:30" hidden="1" x14ac:dyDescent="0.35">
      <c r="A483" s="2">
        <v>45908</v>
      </c>
      <c r="B483" t="s">
        <v>33</v>
      </c>
      <c r="C483">
        <v>1.17805004119873</v>
      </c>
      <c r="D483">
        <v>1.17809998989105</v>
      </c>
      <c r="E483">
        <v>1.1773500442504801</v>
      </c>
      <c r="F483">
        <v>1.1777000427246</v>
      </c>
      <c r="G483">
        <v>152</v>
      </c>
      <c r="H483">
        <v>1.1780100107192899</v>
      </c>
      <c r="I483">
        <v>0</v>
      </c>
      <c r="J483" t="str">
        <f t="shared" si="59"/>
        <v>DOWN</v>
      </c>
      <c r="K483">
        <v>1.17484300851821</v>
      </c>
      <c r="L483">
        <v>1.0200023651130099E-4</v>
      </c>
      <c r="M483" t="str">
        <f t="shared" si="60"/>
        <v>UP</v>
      </c>
      <c r="N483">
        <v>3.1670022010801199E-3</v>
      </c>
      <c r="O483" t="str">
        <f t="shared" si="61"/>
        <v>UP</v>
      </c>
      <c r="P483">
        <v>54.563121634063201</v>
      </c>
      <c r="Q483">
        <v>1.6150068299784399</v>
      </c>
      <c r="R483" t="str">
        <f t="shared" si="62"/>
        <v>UP</v>
      </c>
      <c r="S483">
        <v>1.1775499582290601</v>
      </c>
      <c r="T483" t="str">
        <f t="shared" si="56"/>
        <v>DOWN</v>
      </c>
      <c r="U483">
        <v>1.17774999141693</v>
      </c>
      <c r="V483" t="str">
        <f t="shared" si="63"/>
        <v>DOWN</v>
      </c>
      <c r="W483">
        <v>1.1782499551773</v>
      </c>
      <c r="X483" t="str">
        <f t="shared" si="57"/>
        <v>DOWN</v>
      </c>
      <c r="Y483">
        <v>1.17840003967285</v>
      </c>
      <c r="Z483" t="str">
        <f t="shared" si="58"/>
        <v>DOWN</v>
      </c>
      <c r="AA483">
        <v>0</v>
      </c>
      <c r="AB483">
        <v>0</v>
      </c>
      <c r="AC483">
        <v>0</v>
      </c>
      <c r="AD483">
        <v>0</v>
      </c>
    </row>
    <row r="484" spans="1:30" hidden="1" x14ac:dyDescent="0.35">
      <c r="A484" s="2">
        <v>45908</v>
      </c>
      <c r="B484" t="s">
        <v>41</v>
      </c>
      <c r="C484">
        <v>1.1782499551773</v>
      </c>
      <c r="D484">
        <v>1.17879998683929</v>
      </c>
      <c r="E484">
        <v>1.17799997329711</v>
      </c>
      <c r="F484">
        <v>1.17799997329711</v>
      </c>
      <c r="G484">
        <v>375</v>
      </c>
      <c r="H484">
        <v>1.1780400037765499</v>
      </c>
      <c r="I484" s="1">
        <v>2.99930572511541E-5</v>
      </c>
      <c r="J484" t="str">
        <f t="shared" si="59"/>
        <v>UP</v>
      </c>
      <c r="K484">
        <v>1.17495100736618</v>
      </c>
      <c r="L484">
        <v>1.0799884796131001E-4</v>
      </c>
      <c r="M484" t="str">
        <f t="shared" si="60"/>
        <v>UP</v>
      </c>
      <c r="N484">
        <v>3.0889964103699699E-3</v>
      </c>
      <c r="O484" t="str">
        <f t="shared" si="61"/>
        <v>UP</v>
      </c>
      <c r="P484">
        <v>55.502614578302399</v>
      </c>
      <c r="Q484">
        <v>0.93949294423915497</v>
      </c>
      <c r="R484" t="str">
        <f t="shared" si="62"/>
        <v>UP</v>
      </c>
      <c r="S484">
        <v>1.1773500442504801</v>
      </c>
      <c r="T484" t="str">
        <f t="shared" si="56"/>
        <v>UP</v>
      </c>
      <c r="U484">
        <v>1.1775499582290601</v>
      </c>
      <c r="V484" t="str">
        <f t="shared" si="63"/>
        <v>UP</v>
      </c>
      <c r="W484">
        <v>1.17809998989105</v>
      </c>
      <c r="X484" t="str">
        <f t="shared" si="57"/>
        <v>UP</v>
      </c>
      <c r="Y484">
        <v>1.1782499551773</v>
      </c>
      <c r="Z484" t="str">
        <f t="shared" si="58"/>
        <v>UP</v>
      </c>
      <c r="AA484">
        <v>0</v>
      </c>
      <c r="AB484">
        <v>0</v>
      </c>
      <c r="AC484">
        <v>0</v>
      </c>
      <c r="AD484">
        <v>0</v>
      </c>
    </row>
    <row r="485" spans="1:30" hidden="1" x14ac:dyDescent="0.35">
      <c r="A485" s="2">
        <v>45908</v>
      </c>
      <c r="B485" t="s">
        <v>34</v>
      </c>
      <c r="C485">
        <v>1.17945003509521</v>
      </c>
      <c r="D485">
        <v>1.17949998378753</v>
      </c>
      <c r="E485">
        <v>1.17799997329711</v>
      </c>
      <c r="F485">
        <v>1.17830002307891</v>
      </c>
      <c r="G485">
        <v>1604</v>
      </c>
      <c r="H485">
        <v>1.1783400058746301</v>
      </c>
      <c r="I485">
        <v>3.0000209808345098E-4</v>
      </c>
      <c r="J485" t="str">
        <f t="shared" si="59"/>
        <v>UP</v>
      </c>
      <c r="K485">
        <v>1.1750930070876999</v>
      </c>
      <c r="L485">
        <v>1.41999721527064E-4</v>
      </c>
      <c r="M485" t="str">
        <f t="shared" si="60"/>
        <v>UP</v>
      </c>
      <c r="N485">
        <v>3.2469987869263501E-3</v>
      </c>
      <c r="O485" t="str">
        <f t="shared" si="61"/>
        <v>UP</v>
      </c>
      <c r="P485">
        <v>60.749290476188698</v>
      </c>
      <c r="Q485">
        <v>5.2466758978863401</v>
      </c>
      <c r="R485" t="str">
        <f t="shared" si="62"/>
        <v>UP</v>
      </c>
      <c r="S485">
        <v>1.17799997329711</v>
      </c>
      <c r="T485" t="str">
        <f t="shared" si="56"/>
        <v>UP</v>
      </c>
      <c r="U485">
        <v>1.1773500442504801</v>
      </c>
      <c r="V485" t="str">
        <f t="shared" si="63"/>
        <v>UP</v>
      </c>
      <c r="W485">
        <v>1.17879998683929</v>
      </c>
      <c r="X485" t="str">
        <f t="shared" si="57"/>
        <v>UP</v>
      </c>
      <c r="Y485">
        <v>1.17809998989105</v>
      </c>
      <c r="Z485" t="str">
        <f t="shared" si="58"/>
        <v>UP</v>
      </c>
      <c r="AA485">
        <v>0</v>
      </c>
      <c r="AB485">
        <v>0</v>
      </c>
      <c r="AC485">
        <v>0</v>
      </c>
      <c r="AD485">
        <v>0</v>
      </c>
    </row>
    <row r="486" spans="1:30" hidden="1" x14ac:dyDescent="0.35">
      <c r="A486" s="2">
        <v>45908</v>
      </c>
      <c r="B486" t="s">
        <v>35</v>
      </c>
      <c r="C486">
        <v>1.1799999475479099</v>
      </c>
      <c r="D486">
        <v>1.1800999641418399</v>
      </c>
      <c r="E486">
        <v>1.17879998683929</v>
      </c>
      <c r="F486">
        <v>1.17945003509521</v>
      </c>
      <c r="G486">
        <v>1524</v>
      </c>
      <c r="H486">
        <v>1.17869000434875</v>
      </c>
      <c r="I486">
        <v>3.4999847412109299E-4</v>
      </c>
      <c r="J486" t="str">
        <f t="shared" si="59"/>
        <v>UP</v>
      </c>
      <c r="K486">
        <v>1.1752450060844399</v>
      </c>
      <c r="L486">
        <v>1.5199899673468099E-4</v>
      </c>
      <c r="M486" t="str">
        <f t="shared" si="60"/>
        <v>UP</v>
      </c>
      <c r="N486">
        <v>3.4449982643127699E-3</v>
      </c>
      <c r="O486" t="str">
        <f t="shared" si="61"/>
        <v>UP</v>
      </c>
      <c r="P486">
        <v>62.907548437390602</v>
      </c>
      <c r="Q486">
        <v>2.1582579612018198</v>
      </c>
      <c r="R486" t="str">
        <f t="shared" si="62"/>
        <v>UP</v>
      </c>
      <c r="S486">
        <v>1.17799997329711</v>
      </c>
      <c r="T486" t="str">
        <f t="shared" si="56"/>
        <v>UP</v>
      </c>
      <c r="U486">
        <v>1.17799997329711</v>
      </c>
      <c r="V486" t="str">
        <f t="shared" si="63"/>
        <v>UP</v>
      </c>
      <c r="W486">
        <v>1.17949998378753</v>
      </c>
      <c r="X486" t="str">
        <f t="shared" si="57"/>
        <v>UP</v>
      </c>
      <c r="Y486">
        <v>1.17879998683929</v>
      </c>
      <c r="Z486" t="str">
        <f t="shared" si="58"/>
        <v>UP</v>
      </c>
      <c r="AA486">
        <v>0</v>
      </c>
      <c r="AB486">
        <v>0</v>
      </c>
      <c r="AC486">
        <v>0</v>
      </c>
      <c r="AD486">
        <v>0</v>
      </c>
    </row>
    <row r="487" spans="1:30" hidden="1" x14ac:dyDescent="0.35">
      <c r="A487" s="2">
        <v>45908</v>
      </c>
      <c r="B487" t="s">
        <v>36</v>
      </c>
      <c r="C487">
        <v>1.1798499822616499</v>
      </c>
      <c r="D487">
        <v>1.1809999942779501</v>
      </c>
      <c r="E487">
        <v>1.17935001850128</v>
      </c>
      <c r="F487">
        <v>1.1800500154495199</v>
      </c>
      <c r="G487">
        <v>3944</v>
      </c>
      <c r="H487">
        <v>1.1791199922561599</v>
      </c>
      <c r="I487">
        <v>4.2998790740966699E-4</v>
      </c>
      <c r="J487" t="str">
        <f t="shared" si="59"/>
        <v>UP</v>
      </c>
      <c r="K487">
        <v>1.1753980064392</v>
      </c>
      <c r="L487">
        <v>1.5300035476673E-4</v>
      </c>
      <c r="M487" t="str">
        <f t="shared" si="60"/>
        <v>UP</v>
      </c>
      <c r="N487">
        <v>3.7219858169556998E-3</v>
      </c>
      <c r="O487" t="str">
        <f t="shared" si="61"/>
        <v>UP</v>
      </c>
      <c r="P487">
        <v>61.907817338113503</v>
      </c>
      <c r="Q487">
        <v>-0.99973109927707704</v>
      </c>
      <c r="R487" t="str">
        <f t="shared" si="62"/>
        <v>DOWN</v>
      </c>
      <c r="S487">
        <v>1.17879998683929</v>
      </c>
      <c r="T487" t="str">
        <f t="shared" si="56"/>
        <v>UP</v>
      </c>
      <c r="U487">
        <v>1.17799997329711</v>
      </c>
      <c r="V487" t="str">
        <f t="shared" si="63"/>
        <v>UP</v>
      </c>
      <c r="W487">
        <v>1.1800999641418399</v>
      </c>
      <c r="X487" t="str">
        <f t="shared" si="57"/>
        <v>UP</v>
      </c>
      <c r="Y487">
        <v>1.17949998378753</v>
      </c>
      <c r="Z487" t="str">
        <f t="shared" si="58"/>
        <v>UP</v>
      </c>
      <c r="AA487">
        <v>0</v>
      </c>
      <c r="AB487">
        <v>0</v>
      </c>
      <c r="AC487">
        <v>0</v>
      </c>
      <c r="AD487">
        <v>0</v>
      </c>
    </row>
    <row r="488" spans="1:30" hidden="1" x14ac:dyDescent="0.35">
      <c r="A488" s="2">
        <v>45908</v>
      </c>
      <c r="B488" t="s">
        <v>37</v>
      </c>
      <c r="C488">
        <v>1.17920005321502</v>
      </c>
      <c r="D488">
        <v>1.1797499656677199</v>
      </c>
      <c r="E488">
        <v>1.1788500547409</v>
      </c>
      <c r="F488">
        <v>1.17960000038146</v>
      </c>
      <c r="G488">
        <v>4219</v>
      </c>
      <c r="H488">
        <v>1.1793499946594199</v>
      </c>
      <c r="I488">
        <v>2.3000240325932099E-4</v>
      </c>
      <c r="J488" t="str">
        <f t="shared" si="59"/>
        <v>UP</v>
      </c>
      <c r="K488">
        <v>1.17553500652313</v>
      </c>
      <c r="L488">
        <v>1.37000083923366E-4</v>
      </c>
      <c r="M488" t="str">
        <f t="shared" si="60"/>
        <v>UP</v>
      </c>
      <c r="N488">
        <v>3.8149881362916599E-3</v>
      </c>
      <c r="O488" t="str">
        <f t="shared" si="61"/>
        <v>UP</v>
      </c>
      <c r="P488">
        <v>57.633055021587701</v>
      </c>
      <c r="Q488">
        <v>-4.2747623165258002</v>
      </c>
      <c r="R488" t="str">
        <f t="shared" si="62"/>
        <v>DOWN</v>
      </c>
      <c r="S488">
        <v>1.17935001850128</v>
      </c>
      <c r="T488" t="str">
        <f t="shared" si="56"/>
        <v>DOWN</v>
      </c>
      <c r="U488">
        <v>1.17879998683929</v>
      </c>
      <c r="V488" t="str">
        <f t="shared" si="63"/>
        <v>UP</v>
      </c>
      <c r="W488">
        <v>1.1809999942779501</v>
      </c>
      <c r="X488" t="str">
        <f t="shared" si="57"/>
        <v>DOWN</v>
      </c>
      <c r="Y488">
        <v>1.1800999641418399</v>
      </c>
      <c r="Z488" t="str">
        <f t="shared" si="58"/>
        <v>DOWN</v>
      </c>
      <c r="AA488">
        <v>0</v>
      </c>
      <c r="AB488">
        <v>0</v>
      </c>
      <c r="AC488">
        <v>0</v>
      </c>
      <c r="AD488">
        <v>0</v>
      </c>
    </row>
    <row r="489" spans="1:30" hidden="1" x14ac:dyDescent="0.35">
      <c r="A489" s="2">
        <v>45908</v>
      </c>
      <c r="B489" t="s">
        <v>20</v>
      </c>
      <c r="C489">
        <v>1.17935001850128</v>
      </c>
      <c r="D489">
        <v>1.17960000038146</v>
      </c>
      <c r="E489">
        <v>1.17875003814697</v>
      </c>
      <c r="F489">
        <v>1.17910003662109</v>
      </c>
      <c r="G489">
        <v>1552</v>
      </c>
      <c r="H489">
        <v>1.1795700073242099</v>
      </c>
      <c r="I489">
        <v>2.2001266479487701E-4</v>
      </c>
      <c r="J489" t="str">
        <f t="shared" si="59"/>
        <v>UP</v>
      </c>
      <c r="K489">
        <v>1.17567800760269</v>
      </c>
      <c r="L489">
        <v>1.43001079559335E-4</v>
      </c>
      <c r="M489" t="str">
        <f t="shared" si="60"/>
        <v>UP</v>
      </c>
      <c r="N489">
        <v>3.8919997215272001E-3</v>
      </c>
      <c r="O489" t="str">
        <f t="shared" si="61"/>
        <v>UP</v>
      </c>
      <c r="P489">
        <v>58.347739795755302</v>
      </c>
      <c r="Q489">
        <v>0.71468477416763598</v>
      </c>
      <c r="R489" t="str">
        <f t="shared" si="62"/>
        <v>UP</v>
      </c>
      <c r="S489">
        <v>1.1788500547409</v>
      </c>
      <c r="T489" t="str">
        <f t="shared" si="56"/>
        <v>DOWN</v>
      </c>
      <c r="U489">
        <v>1.17935001850128</v>
      </c>
      <c r="V489" t="str">
        <f t="shared" si="63"/>
        <v>DOWN</v>
      </c>
      <c r="W489">
        <v>1.1797499656677199</v>
      </c>
      <c r="X489" t="str">
        <f t="shared" si="57"/>
        <v>DOWN</v>
      </c>
      <c r="Y489">
        <v>1.1809999942779501</v>
      </c>
      <c r="Z489" t="str">
        <f t="shared" si="58"/>
        <v>DOWN</v>
      </c>
      <c r="AA489">
        <v>0</v>
      </c>
      <c r="AB489">
        <v>0</v>
      </c>
      <c r="AC489">
        <v>0</v>
      </c>
      <c r="AD489">
        <v>0</v>
      </c>
    </row>
    <row r="490" spans="1:30" hidden="1" x14ac:dyDescent="0.35">
      <c r="A490" s="2">
        <v>45908</v>
      </c>
      <c r="B490" t="s">
        <v>21</v>
      </c>
      <c r="C490">
        <v>1.1796499490737899</v>
      </c>
      <c r="D490">
        <v>1.1799000501632599</v>
      </c>
      <c r="E490">
        <v>1.17925000190734</v>
      </c>
      <c r="F490">
        <v>1.17929995059967</v>
      </c>
      <c r="G490">
        <v>2006</v>
      </c>
      <c r="H490">
        <v>1.17960999011993</v>
      </c>
      <c r="I490" s="1">
        <v>3.99827957153764E-5</v>
      </c>
      <c r="J490" t="str">
        <f t="shared" si="59"/>
        <v>UP</v>
      </c>
      <c r="K490">
        <v>1.1758320069313</v>
      </c>
      <c r="L490">
        <v>1.53999328613263E-4</v>
      </c>
      <c r="M490" t="str">
        <f t="shared" si="60"/>
        <v>UP</v>
      </c>
      <c r="N490">
        <v>3.77798318862931E-3</v>
      </c>
      <c r="O490" t="str">
        <f t="shared" si="61"/>
        <v>UP</v>
      </c>
      <c r="P490">
        <v>59.808037078915497</v>
      </c>
      <c r="Q490">
        <v>1.4602972831601999</v>
      </c>
      <c r="R490" t="str">
        <f t="shared" si="62"/>
        <v>UP</v>
      </c>
      <c r="S490">
        <v>1.17875003814697</v>
      </c>
      <c r="T490" t="str">
        <f t="shared" si="56"/>
        <v>UP</v>
      </c>
      <c r="U490">
        <v>1.1788500547409</v>
      </c>
      <c r="V490" t="str">
        <f t="shared" si="63"/>
        <v>UP</v>
      </c>
      <c r="W490">
        <v>1.17960000038146</v>
      </c>
      <c r="X490" t="str">
        <f t="shared" si="57"/>
        <v>UP</v>
      </c>
      <c r="Y490">
        <v>1.1797499656677199</v>
      </c>
      <c r="Z490" t="str">
        <f t="shared" si="58"/>
        <v>UP</v>
      </c>
      <c r="AA490">
        <v>0</v>
      </c>
      <c r="AB490">
        <v>0</v>
      </c>
      <c r="AC490">
        <v>0</v>
      </c>
      <c r="AD490">
        <v>0</v>
      </c>
    </row>
    <row r="491" spans="1:30" hidden="1" x14ac:dyDescent="0.35">
      <c r="A491" s="2">
        <v>45908</v>
      </c>
      <c r="B491" t="s">
        <v>22</v>
      </c>
      <c r="C491">
        <v>1.1805499792098999</v>
      </c>
      <c r="D491">
        <v>1.1808999776840201</v>
      </c>
      <c r="E491">
        <v>1.17910003662109</v>
      </c>
      <c r="F491">
        <v>1.1796499490737899</v>
      </c>
      <c r="G491">
        <v>7006</v>
      </c>
      <c r="H491">
        <v>1.1797199964523299</v>
      </c>
      <c r="I491">
        <v>1.1000633239732701E-4</v>
      </c>
      <c r="J491" t="str">
        <f t="shared" si="59"/>
        <v>UP</v>
      </c>
      <c r="K491">
        <v>1.17599100589752</v>
      </c>
      <c r="L491">
        <v>1.5899896621718299E-4</v>
      </c>
      <c r="M491" t="str">
        <f t="shared" si="60"/>
        <v>UP</v>
      </c>
      <c r="N491">
        <v>3.7289905548094598E-3</v>
      </c>
      <c r="O491" t="str">
        <f t="shared" si="61"/>
        <v>UP</v>
      </c>
      <c r="P491">
        <v>63.898301102912797</v>
      </c>
      <c r="Q491">
        <v>4.0902640239972996</v>
      </c>
      <c r="R491" t="str">
        <f t="shared" si="62"/>
        <v>UP</v>
      </c>
      <c r="S491">
        <v>1.17925000190734</v>
      </c>
      <c r="T491" t="str">
        <f t="shared" si="56"/>
        <v>DOWN</v>
      </c>
      <c r="U491">
        <v>1.17875003814697</v>
      </c>
      <c r="V491" t="str">
        <f t="shared" si="63"/>
        <v>UP</v>
      </c>
      <c r="W491">
        <v>1.1799000501632599</v>
      </c>
      <c r="X491" t="str">
        <f t="shared" si="57"/>
        <v>UP</v>
      </c>
      <c r="Y491">
        <v>1.17960000038146</v>
      </c>
      <c r="Z491" t="str">
        <f t="shared" si="58"/>
        <v>UP</v>
      </c>
      <c r="AA491">
        <v>0</v>
      </c>
      <c r="AB491">
        <v>0</v>
      </c>
      <c r="AC491">
        <v>0</v>
      </c>
      <c r="AD491">
        <v>0</v>
      </c>
    </row>
    <row r="492" spans="1:30" hidden="1" x14ac:dyDescent="0.35">
      <c r="A492" s="2">
        <v>45908</v>
      </c>
      <c r="B492" t="s">
        <v>23</v>
      </c>
      <c r="C492">
        <v>1.1818499565124501</v>
      </c>
      <c r="D492">
        <v>1.18239998817443</v>
      </c>
      <c r="E492">
        <v>1.1804499626159599</v>
      </c>
      <c r="F492">
        <v>1.1805499792098999</v>
      </c>
      <c r="G492">
        <v>14558</v>
      </c>
      <c r="H492">
        <v>1.18011999130249</v>
      </c>
      <c r="I492">
        <v>3.99994850158735E-4</v>
      </c>
      <c r="J492" t="str">
        <f t="shared" si="59"/>
        <v>UP</v>
      </c>
      <c r="K492">
        <v>1.1762030053138699</v>
      </c>
      <c r="L492">
        <v>2.1199941635119399E-4</v>
      </c>
      <c r="M492" t="str">
        <f t="shared" si="60"/>
        <v>UP</v>
      </c>
      <c r="N492">
        <v>3.9169859886170003E-3</v>
      </c>
      <c r="O492" t="str">
        <f t="shared" si="61"/>
        <v>UP</v>
      </c>
      <c r="P492">
        <v>68.832115939669606</v>
      </c>
      <c r="Q492">
        <v>4.9338148367567696</v>
      </c>
      <c r="R492" t="str">
        <f t="shared" si="62"/>
        <v>UP</v>
      </c>
      <c r="S492">
        <v>1.17910003662109</v>
      </c>
      <c r="T492" t="str">
        <f t="shared" si="56"/>
        <v>UP</v>
      </c>
      <c r="U492">
        <v>1.17925000190734</v>
      </c>
      <c r="V492" t="str">
        <f t="shared" si="63"/>
        <v>UP</v>
      </c>
      <c r="W492">
        <v>1.1808999776840201</v>
      </c>
      <c r="X492" t="str">
        <f t="shared" si="57"/>
        <v>UP</v>
      </c>
      <c r="Y492">
        <v>1.1799000501632599</v>
      </c>
      <c r="Z492" t="str">
        <f t="shared" si="58"/>
        <v>UP</v>
      </c>
      <c r="AA492">
        <v>0</v>
      </c>
      <c r="AB492">
        <v>0</v>
      </c>
      <c r="AC492">
        <v>0</v>
      </c>
      <c r="AD492">
        <v>0</v>
      </c>
    </row>
    <row r="493" spans="1:30" hidden="1" x14ac:dyDescent="0.35">
      <c r="A493" s="2">
        <v>45908</v>
      </c>
      <c r="B493" t="s">
        <v>24</v>
      </c>
      <c r="C493">
        <v>1.1812499761581401</v>
      </c>
      <c r="D493">
        <v>1.1821000576019201</v>
      </c>
      <c r="E493">
        <v>1.1807500123977599</v>
      </c>
      <c r="F493">
        <v>1.1818499565124501</v>
      </c>
      <c r="G493">
        <v>9794</v>
      </c>
      <c r="H493">
        <v>1.1805299758911101</v>
      </c>
      <c r="I493">
        <v>4.09984588622958E-4</v>
      </c>
      <c r="J493" t="str">
        <f t="shared" si="59"/>
        <v>UP</v>
      </c>
      <c r="K493">
        <v>1.17638400554656</v>
      </c>
      <c r="L493">
        <v>1.8100023269651501E-4</v>
      </c>
      <c r="M493" t="str">
        <f t="shared" si="60"/>
        <v>UP</v>
      </c>
      <c r="N493">
        <v>4.1459703445434403E-3</v>
      </c>
      <c r="O493" t="str">
        <f t="shared" si="61"/>
        <v>UP</v>
      </c>
      <c r="P493">
        <v>64.453964437210601</v>
      </c>
      <c r="Q493">
        <v>-4.3781515024590396</v>
      </c>
      <c r="R493" t="str">
        <f t="shared" si="62"/>
        <v>DOWN</v>
      </c>
      <c r="S493">
        <v>1.1804499626159599</v>
      </c>
      <c r="T493" t="str">
        <f t="shared" si="56"/>
        <v>UP</v>
      </c>
      <c r="U493">
        <v>1.17910003662109</v>
      </c>
      <c r="V493" t="str">
        <f t="shared" si="63"/>
        <v>UP</v>
      </c>
      <c r="W493">
        <v>1.18239998817443</v>
      </c>
      <c r="X493" t="str">
        <f t="shared" si="57"/>
        <v>DOWN</v>
      </c>
      <c r="Y493">
        <v>1.1808999776840201</v>
      </c>
      <c r="Z493" t="str">
        <f t="shared" si="58"/>
        <v>UP</v>
      </c>
      <c r="AA493">
        <v>0</v>
      </c>
      <c r="AB493">
        <v>0</v>
      </c>
      <c r="AC493">
        <v>0</v>
      </c>
      <c r="AD493">
        <v>0</v>
      </c>
    </row>
    <row r="494" spans="1:30" hidden="1" x14ac:dyDescent="0.35">
      <c r="A494" s="2">
        <v>45908</v>
      </c>
      <c r="B494" t="s">
        <v>25</v>
      </c>
      <c r="C494">
        <v>1.1818000078201201</v>
      </c>
      <c r="D494">
        <v>1.1819499731063801</v>
      </c>
      <c r="E494">
        <v>1.1811000108718801</v>
      </c>
      <c r="F494">
        <v>1.1813000440597501</v>
      </c>
      <c r="G494">
        <v>15302</v>
      </c>
      <c r="H494">
        <v>1.1810199737548801</v>
      </c>
      <c r="I494">
        <v>4.8999786376957501E-4</v>
      </c>
      <c r="J494" t="str">
        <f t="shared" si="59"/>
        <v>UP</v>
      </c>
      <c r="K494">
        <v>1.1765940046310399</v>
      </c>
      <c r="L494">
        <v>2.0999908447283299E-4</v>
      </c>
      <c r="M494" t="str">
        <f t="shared" si="60"/>
        <v>UP</v>
      </c>
      <c r="N494">
        <v>4.4259691238401899E-3</v>
      </c>
      <c r="O494" t="str">
        <f t="shared" si="61"/>
        <v>UP</v>
      </c>
      <c r="P494">
        <v>66.554239083522702</v>
      </c>
      <c r="Q494">
        <v>2.1002746463121502</v>
      </c>
      <c r="R494" t="str">
        <f t="shared" si="62"/>
        <v>UP</v>
      </c>
      <c r="S494">
        <v>1.1807500123977599</v>
      </c>
      <c r="T494" t="str">
        <f t="shared" si="56"/>
        <v>UP</v>
      </c>
      <c r="U494">
        <v>1.1804499626159599</v>
      </c>
      <c r="V494" t="str">
        <f t="shared" si="63"/>
        <v>UP</v>
      </c>
      <c r="W494">
        <v>1.1821000576019201</v>
      </c>
      <c r="X494" t="str">
        <f t="shared" si="57"/>
        <v>DOWN</v>
      </c>
      <c r="Y494">
        <v>1.18239998817443</v>
      </c>
      <c r="Z494" t="str">
        <f t="shared" si="58"/>
        <v>DOWN</v>
      </c>
      <c r="AA494">
        <v>0</v>
      </c>
      <c r="AB494">
        <v>0</v>
      </c>
      <c r="AC494">
        <v>0</v>
      </c>
      <c r="AD494">
        <v>0</v>
      </c>
    </row>
    <row r="495" spans="1:30" hidden="1" x14ac:dyDescent="0.35">
      <c r="A495" s="2">
        <v>45908</v>
      </c>
      <c r="B495" t="s">
        <v>26</v>
      </c>
      <c r="C495">
        <v>1.1808500289916899</v>
      </c>
      <c r="D495">
        <v>1.1819499731063801</v>
      </c>
      <c r="E495">
        <v>1.1802999973297099</v>
      </c>
      <c r="F495">
        <v>1.1817500591278001</v>
      </c>
      <c r="G495">
        <v>5875</v>
      </c>
      <c r="H495">
        <v>1.1812599897384599</v>
      </c>
      <c r="I495">
        <v>2.40015983581587E-4</v>
      </c>
      <c r="J495" t="str">
        <f t="shared" si="59"/>
        <v>UP</v>
      </c>
      <c r="K495">
        <v>1.17677800416946</v>
      </c>
      <c r="L495">
        <v>1.8399953842162999E-4</v>
      </c>
      <c r="M495" t="str">
        <f t="shared" si="60"/>
        <v>UP</v>
      </c>
      <c r="N495">
        <v>4.4819855690001404E-3</v>
      </c>
      <c r="O495" t="str">
        <f t="shared" si="61"/>
        <v>UP</v>
      </c>
      <c r="P495">
        <v>59.964201470159203</v>
      </c>
      <c r="Q495">
        <v>-6.5900376133635099</v>
      </c>
      <c r="R495" t="str">
        <f t="shared" si="62"/>
        <v>DOWN</v>
      </c>
      <c r="S495">
        <v>1.1811000108718801</v>
      </c>
      <c r="T495" t="str">
        <f t="shared" si="56"/>
        <v>DOWN</v>
      </c>
      <c r="U495">
        <v>1.1807500123977599</v>
      </c>
      <c r="V495" t="str">
        <f t="shared" si="63"/>
        <v>DOWN</v>
      </c>
      <c r="W495">
        <v>1.1819499731063801</v>
      </c>
      <c r="X495" t="str">
        <f t="shared" si="57"/>
        <v>DOWN</v>
      </c>
      <c r="Y495">
        <v>1.1821000576019201</v>
      </c>
      <c r="Z495" t="str">
        <f t="shared" si="58"/>
        <v>DOWN</v>
      </c>
      <c r="AA495">
        <v>0</v>
      </c>
      <c r="AB495">
        <v>0</v>
      </c>
      <c r="AC495">
        <v>0</v>
      </c>
      <c r="AD495">
        <v>0</v>
      </c>
    </row>
    <row r="496" spans="1:30" hidden="1" x14ac:dyDescent="0.35">
      <c r="A496" s="2">
        <v>45908</v>
      </c>
      <c r="B496" t="s">
        <v>27</v>
      </c>
      <c r="C496">
        <v>1.1806999444961499</v>
      </c>
      <c r="D496">
        <v>1.1813999414443901</v>
      </c>
      <c r="E496">
        <v>1.1802500486373899</v>
      </c>
      <c r="F496">
        <v>1.1807500123977599</v>
      </c>
      <c r="G496">
        <v>1157</v>
      </c>
      <c r="H496">
        <v>1.18128998279571</v>
      </c>
      <c r="I496" s="1">
        <v>2.9993057250932099E-5</v>
      </c>
      <c r="J496" t="str">
        <f t="shared" si="59"/>
        <v>UP</v>
      </c>
      <c r="K496">
        <v>1.17695100307464</v>
      </c>
      <c r="L496">
        <v>1.7299890518174201E-4</v>
      </c>
      <c r="M496" t="str">
        <f t="shared" si="60"/>
        <v>UP</v>
      </c>
      <c r="N496">
        <v>4.3389797210693299E-3</v>
      </c>
      <c r="O496" t="str">
        <f t="shared" si="61"/>
        <v>UP</v>
      </c>
      <c r="P496">
        <v>58.970730311259601</v>
      </c>
      <c r="Q496">
        <v>-0.993471158899637</v>
      </c>
      <c r="R496" t="str">
        <f t="shared" si="62"/>
        <v>DOWN</v>
      </c>
      <c r="S496">
        <v>1.1802999973297099</v>
      </c>
      <c r="T496" t="str">
        <f t="shared" si="56"/>
        <v>DOWN</v>
      </c>
      <c r="U496">
        <v>1.1811000108718801</v>
      </c>
      <c r="V496" t="str">
        <f t="shared" si="63"/>
        <v>DOWN</v>
      </c>
      <c r="W496">
        <v>1.1819499731063801</v>
      </c>
      <c r="X496" t="str">
        <f t="shared" si="57"/>
        <v>DOWN</v>
      </c>
      <c r="Y496">
        <v>1.1819499731063801</v>
      </c>
      <c r="Z496" t="str">
        <f t="shared" si="58"/>
        <v>DOWN</v>
      </c>
      <c r="AA496">
        <v>0</v>
      </c>
      <c r="AB496">
        <v>0</v>
      </c>
      <c r="AC496">
        <v>0</v>
      </c>
      <c r="AD496">
        <v>0</v>
      </c>
    </row>
    <row r="497" spans="1:30" hidden="1" x14ac:dyDescent="0.35">
      <c r="A497" s="2">
        <v>45908</v>
      </c>
      <c r="B497" t="s">
        <v>38</v>
      </c>
      <c r="C497">
        <v>1.18289995193481</v>
      </c>
      <c r="D497">
        <v>1.18299996852874</v>
      </c>
      <c r="E497">
        <v>1.1806999444961499</v>
      </c>
      <c r="F497">
        <v>1.1806999444961499</v>
      </c>
      <c r="G497">
        <v>4087</v>
      </c>
      <c r="H497">
        <v>1.1814999818801799</v>
      </c>
      <c r="I497">
        <v>2.09999084472611E-4</v>
      </c>
      <c r="J497" t="str">
        <f t="shared" si="59"/>
        <v>UP</v>
      </c>
      <c r="K497">
        <v>1.17719900131225</v>
      </c>
      <c r="L497">
        <v>2.47998237610014E-4</v>
      </c>
      <c r="M497" t="str">
        <f t="shared" si="60"/>
        <v>UP</v>
      </c>
      <c r="N497">
        <v>4.30098056793193E-3</v>
      </c>
      <c r="O497" t="str">
        <f t="shared" si="61"/>
        <v>UP</v>
      </c>
      <c r="P497">
        <v>67.476808465384593</v>
      </c>
      <c r="Q497">
        <v>8.5060781541250794</v>
      </c>
      <c r="R497" t="str">
        <f t="shared" si="62"/>
        <v>UP</v>
      </c>
      <c r="S497">
        <v>1.1802500486373899</v>
      </c>
      <c r="T497" t="str">
        <f t="shared" si="56"/>
        <v>UP</v>
      </c>
      <c r="U497">
        <v>1.1802999973297099</v>
      </c>
      <c r="V497" t="str">
        <f t="shared" si="63"/>
        <v>UP</v>
      </c>
      <c r="W497">
        <v>1.1813999414443901</v>
      </c>
      <c r="X497" t="str">
        <f t="shared" si="57"/>
        <v>UP</v>
      </c>
      <c r="Y497">
        <v>1.1819499731063801</v>
      </c>
      <c r="Z497" t="str">
        <f t="shared" si="58"/>
        <v>UP</v>
      </c>
      <c r="AA497">
        <v>0</v>
      </c>
      <c r="AB497">
        <v>0</v>
      </c>
      <c r="AC497">
        <v>0</v>
      </c>
      <c r="AD497">
        <v>0</v>
      </c>
    </row>
    <row r="498" spans="1:30" hidden="1" x14ac:dyDescent="0.35">
      <c r="A498" s="2">
        <v>45908</v>
      </c>
      <c r="B498" t="s">
        <v>28</v>
      </c>
      <c r="C498">
        <v>1.18299996852874</v>
      </c>
      <c r="D498">
        <v>1.18330001831054</v>
      </c>
      <c r="E498">
        <v>1.18274998664855</v>
      </c>
      <c r="F498">
        <v>1.18285000324249</v>
      </c>
      <c r="G498">
        <v>3742</v>
      </c>
      <c r="H498">
        <v>1.1818499803542999</v>
      </c>
      <c r="I498">
        <v>3.4999847412109299E-4</v>
      </c>
      <c r="J498" t="str">
        <f t="shared" si="59"/>
        <v>UP</v>
      </c>
      <c r="K498">
        <v>1.17742300033569</v>
      </c>
      <c r="L498">
        <v>2.2399902343739301E-4</v>
      </c>
      <c r="M498" t="str">
        <f t="shared" si="60"/>
        <v>UP</v>
      </c>
      <c r="N498">
        <v>4.4269800186156304E-3</v>
      </c>
      <c r="O498" t="str">
        <f t="shared" si="61"/>
        <v>UP</v>
      </c>
      <c r="P498">
        <v>67.803603495998402</v>
      </c>
      <c r="Q498">
        <v>0.32679503061373699</v>
      </c>
      <c r="R498" t="str">
        <f t="shared" si="62"/>
        <v>UP</v>
      </c>
      <c r="S498">
        <v>1.1806999444961499</v>
      </c>
      <c r="T498" t="str">
        <f t="shared" si="56"/>
        <v>UP</v>
      </c>
      <c r="U498">
        <v>1.1802500486373899</v>
      </c>
      <c r="V498" t="str">
        <f t="shared" si="63"/>
        <v>UP</v>
      </c>
      <c r="W498">
        <v>1.18299996852874</v>
      </c>
      <c r="X498" t="str">
        <f t="shared" si="57"/>
        <v>UP</v>
      </c>
      <c r="Y498">
        <v>1.1813999414443901</v>
      </c>
      <c r="Z498" t="str">
        <f t="shared" si="58"/>
        <v>UP</v>
      </c>
      <c r="AA498">
        <v>0</v>
      </c>
      <c r="AB498">
        <v>0</v>
      </c>
      <c r="AC498">
        <v>0</v>
      </c>
      <c r="AD498">
        <v>0</v>
      </c>
    </row>
    <row r="499" spans="1:30" hidden="1" x14ac:dyDescent="0.35">
      <c r="A499" s="2">
        <v>45908</v>
      </c>
      <c r="B499" t="s">
        <v>39</v>
      </c>
      <c r="C499">
        <v>1.18315005302429</v>
      </c>
      <c r="D499">
        <v>1.18315005302429</v>
      </c>
      <c r="E499">
        <v>1.18270003795623</v>
      </c>
      <c r="F499">
        <v>1.18299996852874</v>
      </c>
      <c r="G499">
        <v>236</v>
      </c>
      <c r="H499">
        <v>1.18211998939514</v>
      </c>
      <c r="I499">
        <v>2.7000904083251899E-4</v>
      </c>
      <c r="J499" t="str">
        <f t="shared" si="59"/>
        <v>UP</v>
      </c>
      <c r="K499">
        <v>1.1776670002937299</v>
      </c>
      <c r="L499">
        <v>2.4399995803836501E-4</v>
      </c>
      <c r="M499" t="str">
        <f t="shared" si="60"/>
        <v>UP</v>
      </c>
      <c r="N499">
        <v>4.45298910140978E-3</v>
      </c>
      <c r="O499" t="str">
        <f t="shared" si="61"/>
        <v>UP</v>
      </c>
      <c r="P499">
        <v>68.318052825132597</v>
      </c>
      <c r="Q499">
        <v>0.51444932913422203</v>
      </c>
      <c r="R499" t="str">
        <f t="shared" si="62"/>
        <v>UP</v>
      </c>
      <c r="S499">
        <v>1.18274998664855</v>
      </c>
      <c r="T499" t="str">
        <f t="shared" si="56"/>
        <v>DOWN</v>
      </c>
      <c r="U499">
        <v>1.1806999444961499</v>
      </c>
      <c r="V499" t="str">
        <f t="shared" si="63"/>
        <v>UP</v>
      </c>
      <c r="W499">
        <v>1.18330001831054</v>
      </c>
      <c r="X499" t="str">
        <f t="shared" si="57"/>
        <v>DOWN</v>
      </c>
      <c r="Y499">
        <v>1.18299996852874</v>
      </c>
      <c r="Z499" t="str">
        <f t="shared" si="58"/>
        <v>UP</v>
      </c>
      <c r="AA499">
        <v>0</v>
      </c>
      <c r="AB499">
        <v>0</v>
      </c>
      <c r="AC499">
        <v>0</v>
      </c>
      <c r="AD499">
        <v>0</v>
      </c>
    </row>
    <row r="500" spans="1:30" hidden="1" x14ac:dyDescent="0.35">
      <c r="A500" s="2">
        <v>45908</v>
      </c>
      <c r="B500" t="s">
        <v>40</v>
      </c>
      <c r="C500">
        <v>1.18289995193481</v>
      </c>
      <c r="D500">
        <v>1.18320000171661</v>
      </c>
      <c r="E500">
        <v>1.18285000324249</v>
      </c>
      <c r="F500">
        <v>1.18315005302429</v>
      </c>
      <c r="G500">
        <v>0</v>
      </c>
      <c r="H500">
        <v>1.18252997398376</v>
      </c>
      <c r="I500">
        <v>4.0998458862317999E-4</v>
      </c>
      <c r="J500" t="str">
        <f t="shared" si="59"/>
        <v>UP</v>
      </c>
      <c r="K500">
        <v>1.17790999889373</v>
      </c>
      <c r="L500">
        <v>2.4299860000609401E-4</v>
      </c>
      <c r="M500" t="str">
        <f t="shared" si="60"/>
        <v>UP</v>
      </c>
      <c r="N500">
        <v>4.6199750900268698E-3</v>
      </c>
      <c r="O500" t="str">
        <f t="shared" si="61"/>
        <v>UP</v>
      </c>
      <c r="P500">
        <v>66.413657216018294</v>
      </c>
      <c r="Q500">
        <v>-1.9043956091143099</v>
      </c>
      <c r="R500" t="str">
        <f t="shared" si="62"/>
        <v>DOWN</v>
      </c>
      <c r="S500">
        <v>1.18270003795623</v>
      </c>
      <c r="T500" t="str">
        <f t="shared" si="56"/>
        <v>UP</v>
      </c>
      <c r="U500">
        <v>1.18274998664855</v>
      </c>
      <c r="V500" t="str">
        <f t="shared" si="63"/>
        <v>UP</v>
      </c>
      <c r="W500">
        <v>1.18315005302429</v>
      </c>
      <c r="X500" t="str">
        <f t="shared" si="57"/>
        <v>UP</v>
      </c>
      <c r="Y500">
        <v>1.18330001831054</v>
      </c>
      <c r="Z500" t="str">
        <f t="shared" si="58"/>
        <v>DOWN</v>
      </c>
      <c r="AA500">
        <v>0</v>
      </c>
      <c r="AB500">
        <v>0</v>
      </c>
      <c r="AC500">
        <v>0</v>
      </c>
      <c r="AD500">
        <v>0</v>
      </c>
    </row>
    <row r="501" spans="1:30" hidden="1" x14ac:dyDescent="0.35">
      <c r="A501" s="2">
        <v>45908</v>
      </c>
      <c r="B501" t="s">
        <v>42</v>
      </c>
      <c r="C501">
        <v>1.18350005149841</v>
      </c>
      <c r="D501">
        <v>1.18404996395111</v>
      </c>
      <c r="E501">
        <v>1.18289995193481</v>
      </c>
      <c r="F501">
        <v>1.18289995193481</v>
      </c>
      <c r="G501">
        <v>350</v>
      </c>
      <c r="H501">
        <v>1.18308999538421</v>
      </c>
      <c r="I501">
        <v>5.6002140045152595E-4</v>
      </c>
      <c r="J501" t="str">
        <f t="shared" si="59"/>
        <v>UP</v>
      </c>
      <c r="K501">
        <v>1.1781529998779201</v>
      </c>
      <c r="L501">
        <v>2.4300098419183201E-4</v>
      </c>
      <c r="M501" t="str">
        <f t="shared" si="60"/>
        <v>UP</v>
      </c>
      <c r="N501">
        <v>4.93699550628656E-3</v>
      </c>
      <c r="O501" t="str">
        <f t="shared" si="61"/>
        <v>UP</v>
      </c>
      <c r="P501">
        <v>68.6703364543974</v>
      </c>
      <c r="Q501">
        <v>2.2566792383791001</v>
      </c>
      <c r="R501" t="str">
        <f t="shared" si="62"/>
        <v>UP</v>
      </c>
      <c r="S501">
        <v>1.18285000324249</v>
      </c>
      <c r="T501" t="str">
        <f t="shared" si="56"/>
        <v>UP</v>
      </c>
      <c r="U501">
        <v>1.18270003795623</v>
      </c>
      <c r="V501" t="str">
        <f t="shared" si="63"/>
        <v>UP</v>
      </c>
      <c r="W501">
        <v>1.18320000171661</v>
      </c>
      <c r="X501" t="str">
        <f t="shared" si="57"/>
        <v>UP</v>
      </c>
      <c r="Y501">
        <v>1.18315005302429</v>
      </c>
      <c r="Z501" t="str">
        <f t="shared" si="58"/>
        <v>UP</v>
      </c>
      <c r="AA501">
        <v>1</v>
      </c>
      <c r="AB501">
        <v>0</v>
      </c>
      <c r="AC501">
        <v>0</v>
      </c>
      <c r="AD501">
        <v>0</v>
      </c>
    </row>
    <row r="502" spans="1:30" hidden="1" x14ac:dyDescent="0.35">
      <c r="A502" s="2">
        <v>45909</v>
      </c>
      <c r="B502" t="s">
        <v>29</v>
      </c>
      <c r="C502">
        <v>1.18379998207092</v>
      </c>
      <c r="D502">
        <v>1.18404996395111</v>
      </c>
      <c r="E502">
        <v>1.18324995040893</v>
      </c>
      <c r="F502">
        <v>1.18350005149841</v>
      </c>
      <c r="G502">
        <v>350</v>
      </c>
      <c r="H502">
        <v>1.1832700014114299</v>
      </c>
      <c r="I502">
        <v>1.8000602722167901E-4</v>
      </c>
      <c r="J502" t="str">
        <f t="shared" si="59"/>
        <v>UP</v>
      </c>
      <c r="K502">
        <v>1.17838700056076</v>
      </c>
      <c r="L502">
        <v>2.3400068283074799E-4</v>
      </c>
      <c r="M502" t="str">
        <f t="shared" si="60"/>
        <v>UP</v>
      </c>
      <c r="N502">
        <v>4.8830008506774896E-3</v>
      </c>
      <c r="O502" t="str">
        <f t="shared" si="61"/>
        <v>UP</v>
      </c>
      <c r="P502">
        <v>69.7638294671751</v>
      </c>
      <c r="Q502">
        <v>1.0934930127776701</v>
      </c>
      <c r="R502" t="str">
        <f t="shared" si="62"/>
        <v>UP</v>
      </c>
      <c r="S502">
        <v>1.18289995193481</v>
      </c>
      <c r="T502" t="str">
        <f t="shared" si="56"/>
        <v>UP</v>
      </c>
      <c r="U502">
        <v>1.18285000324249</v>
      </c>
      <c r="V502" t="str">
        <f t="shared" si="63"/>
        <v>UP</v>
      </c>
      <c r="W502">
        <v>1.18404996395111</v>
      </c>
      <c r="X502" t="str">
        <f t="shared" si="57"/>
        <v>DOWN</v>
      </c>
      <c r="Y502">
        <v>1.18320000171661</v>
      </c>
      <c r="Z502" t="str">
        <f t="shared" si="58"/>
        <v>UP</v>
      </c>
      <c r="AA502">
        <v>0</v>
      </c>
      <c r="AB502">
        <v>0</v>
      </c>
      <c r="AC502">
        <v>0</v>
      </c>
      <c r="AD502">
        <v>0</v>
      </c>
    </row>
    <row r="503" spans="1:30" hidden="1" x14ac:dyDescent="0.35">
      <c r="A503" s="2">
        <v>45909</v>
      </c>
      <c r="B503" t="s">
        <v>30</v>
      </c>
      <c r="C503">
        <v>1.1841499805450399</v>
      </c>
      <c r="D503">
        <v>1.1843999624252299</v>
      </c>
      <c r="E503">
        <v>1.18330001831054</v>
      </c>
      <c r="F503">
        <v>1.18379998207092</v>
      </c>
      <c r="G503">
        <v>1026</v>
      </c>
      <c r="H503">
        <v>1.1835000038146899</v>
      </c>
      <c r="I503">
        <v>2.3000240325932099E-4</v>
      </c>
      <c r="J503" t="str">
        <f t="shared" si="59"/>
        <v>UP</v>
      </c>
      <c r="K503">
        <v>1.1786310005187901</v>
      </c>
      <c r="L503">
        <v>2.4399995803836501E-4</v>
      </c>
      <c r="M503" t="str">
        <f t="shared" si="60"/>
        <v>UP</v>
      </c>
      <c r="N503">
        <v>4.8690032958984501E-3</v>
      </c>
      <c r="O503" t="str">
        <f t="shared" si="61"/>
        <v>UP</v>
      </c>
      <c r="P503">
        <v>71.034327495219401</v>
      </c>
      <c r="Q503">
        <v>1.2704980280443099</v>
      </c>
      <c r="R503" t="str">
        <f t="shared" si="62"/>
        <v>UP</v>
      </c>
      <c r="S503">
        <v>1.18324995040893</v>
      </c>
      <c r="T503" t="str">
        <f t="shared" si="56"/>
        <v>UP</v>
      </c>
      <c r="U503">
        <v>1.18289995193481</v>
      </c>
      <c r="V503" t="str">
        <f t="shared" si="63"/>
        <v>UP</v>
      </c>
      <c r="W503">
        <v>1.18404996395111</v>
      </c>
      <c r="X503" t="str">
        <f t="shared" si="57"/>
        <v>UP</v>
      </c>
      <c r="Y503">
        <v>1.18404996395111</v>
      </c>
      <c r="Z503" t="str">
        <f t="shared" si="58"/>
        <v>UP</v>
      </c>
      <c r="AA503">
        <v>0</v>
      </c>
      <c r="AB503">
        <v>0</v>
      </c>
      <c r="AC503">
        <v>0</v>
      </c>
      <c r="AD503">
        <v>0</v>
      </c>
    </row>
    <row r="504" spans="1:30" hidden="1" x14ac:dyDescent="0.35">
      <c r="A504" s="2">
        <v>45909</v>
      </c>
      <c r="B504" t="s">
        <v>31</v>
      </c>
      <c r="C504">
        <v>1.18355000019073</v>
      </c>
      <c r="D504">
        <v>1.1843500137329099</v>
      </c>
      <c r="E504">
        <v>1.18350005149841</v>
      </c>
      <c r="F504">
        <v>1.1842000484466499</v>
      </c>
      <c r="G504">
        <v>8939</v>
      </c>
      <c r="H504">
        <v>1.18357999324798</v>
      </c>
      <c r="I504" s="1">
        <v>7.9989433288574205E-5</v>
      </c>
      <c r="J504" t="str">
        <f t="shared" si="59"/>
        <v>UP</v>
      </c>
      <c r="K504">
        <v>1.17886300086975</v>
      </c>
      <c r="L504">
        <v>2.3200035095216601E-4</v>
      </c>
      <c r="M504" t="str">
        <f t="shared" si="60"/>
        <v>UP</v>
      </c>
      <c r="N504">
        <v>4.7169923782348598E-3</v>
      </c>
      <c r="O504" t="str">
        <f t="shared" si="61"/>
        <v>UP</v>
      </c>
      <c r="P504">
        <v>65.920749239874695</v>
      </c>
      <c r="Q504">
        <v>-5.1135782553446596</v>
      </c>
      <c r="R504" t="str">
        <f t="shared" si="62"/>
        <v>DOWN</v>
      </c>
      <c r="S504">
        <v>1.18330001831054</v>
      </c>
      <c r="T504" t="str">
        <f t="shared" si="56"/>
        <v>UP</v>
      </c>
      <c r="U504">
        <v>1.18324995040893</v>
      </c>
      <c r="V504" t="str">
        <f t="shared" si="63"/>
        <v>UP</v>
      </c>
      <c r="W504">
        <v>1.1843999624252299</v>
      </c>
      <c r="X504" t="str">
        <f t="shared" si="57"/>
        <v>DOWN</v>
      </c>
      <c r="Y504">
        <v>1.18404996395111</v>
      </c>
      <c r="Z504" t="str">
        <f t="shared" si="58"/>
        <v>UP</v>
      </c>
      <c r="AA504">
        <v>0</v>
      </c>
      <c r="AB504">
        <v>0</v>
      </c>
      <c r="AC504">
        <v>0</v>
      </c>
      <c r="AD504">
        <v>0</v>
      </c>
    </row>
    <row r="505" spans="1:30" hidden="1" x14ac:dyDescent="0.35">
      <c r="A505" s="2">
        <v>45909</v>
      </c>
      <c r="B505" t="s">
        <v>32</v>
      </c>
      <c r="C505">
        <v>1.18305003643035</v>
      </c>
      <c r="D505">
        <v>1.18359994888305</v>
      </c>
      <c r="E505">
        <v>1.18305003643035</v>
      </c>
      <c r="F505">
        <v>1.18355000019073</v>
      </c>
      <c r="G505">
        <v>4887</v>
      </c>
      <c r="H505">
        <v>1.1836100101470901</v>
      </c>
      <c r="I505" s="1">
        <v>3.0016899108975499E-5</v>
      </c>
      <c r="J505" t="str">
        <f t="shared" si="59"/>
        <v>UP</v>
      </c>
      <c r="K505">
        <v>1.1790720009803699</v>
      </c>
      <c r="L505">
        <v>2.0900011062629999E-4</v>
      </c>
      <c r="M505" t="str">
        <f t="shared" si="60"/>
        <v>UP</v>
      </c>
      <c r="N505">
        <v>4.5380091667175304E-3</v>
      </c>
      <c r="O505" t="str">
        <f t="shared" si="61"/>
        <v>UP</v>
      </c>
      <c r="P505">
        <v>61.920584653266999</v>
      </c>
      <c r="Q505">
        <v>-4.0001645866077302</v>
      </c>
      <c r="R505" t="str">
        <f t="shared" si="62"/>
        <v>DOWN</v>
      </c>
      <c r="S505">
        <v>1.18350005149841</v>
      </c>
      <c r="T505" t="str">
        <f t="shared" si="56"/>
        <v>DOWN</v>
      </c>
      <c r="U505">
        <v>1.18330001831054</v>
      </c>
      <c r="V505" t="str">
        <f t="shared" si="63"/>
        <v>DOWN</v>
      </c>
      <c r="W505">
        <v>1.1843500137329099</v>
      </c>
      <c r="X505" t="str">
        <f t="shared" si="57"/>
        <v>DOWN</v>
      </c>
      <c r="Y505">
        <v>1.1843999624252299</v>
      </c>
      <c r="Z505" t="str">
        <f t="shared" si="58"/>
        <v>DOWN</v>
      </c>
      <c r="AA505">
        <v>0</v>
      </c>
      <c r="AB505">
        <v>0</v>
      </c>
      <c r="AC505">
        <v>0</v>
      </c>
      <c r="AD505">
        <v>0</v>
      </c>
    </row>
    <row r="506" spans="1:30" hidden="1" x14ac:dyDescent="0.35">
      <c r="A506" s="2">
        <v>45909</v>
      </c>
      <c r="B506" t="s">
        <v>33</v>
      </c>
      <c r="C506">
        <v>1.18394994735717</v>
      </c>
      <c r="D506">
        <v>1.1842499971389699</v>
      </c>
      <c r="E506">
        <v>1.18330001831054</v>
      </c>
      <c r="F506">
        <v>1.18330001831054</v>
      </c>
      <c r="G506">
        <v>804</v>
      </c>
      <c r="H506">
        <v>1.18369998931884</v>
      </c>
      <c r="I506" s="1">
        <v>8.9979171752796407E-5</v>
      </c>
      <c r="J506" t="str">
        <f t="shared" si="59"/>
        <v>UP</v>
      </c>
      <c r="K506">
        <v>1.1792919993400499</v>
      </c>
      <c r="L506">
        <v>2.1999835968022899E-4</v>
      </c>
      <c r="M506" t="str">
        <f t="shared" si="60"/>
        <v>UP</v>
      </c>
      <c r="N506">
        <v>4.4079899787901004E-3</v>
      </c>
      <c r="O506" t="str">
        <f t="shared" si="61"/>
        <v>UP</v>
      </c>
      <c r="P506">
        <v>65.928286327043494</v>
      </c>
      <c r="Q506">
        <v>4.0077016737765003</v>
      </c>
      <c r="R506" t="str">
        <f t="shared" si="62"/>
        <v>UP</v>
      </c>
      <c r="S506">
        <v>1.18305003643035</v>
      </c>
      <c r="T506" t="str">
        <f t="shared" si="56"/>
        <v>UP</v>
      </c>
      <c r="U506">
        <v>1.18350005149841</v>
      </c>
      <c r="V506" t="str">
        <f t="shared" si="63"/>
        <v>DOWN</v>
      </c>
      <c r="W506">
        <v>1.18359994888305</v>
      </c>
      <c r="X506" t="str">
        <f t="shared" si="57"/>
        <v>UP</v>
      </c>
      <c r="Y506">
        <v>1.1843500137329099</v>
      </c>
      <c r="Z506" t="str">
        <f t="shared" si="58"/>
        <v>DOWN</v>
      </c>
      <c r="AA506">
        <v>0</v>
      </c>
      <c r="AB506">
        <v>0</v>
      </c>
      <c r="AC506">
        <v>0</v>
      </c>
      <c r="AD506">
        <v>0</v>
      </c>
    </row>
    <row r="507" spans="1:30" hidden="1" x14ac:dyDescent="0.35">
      <c r="A507" s="2">
        <v>45909</v>
      </c>
      <c r="B507" t="s">
        <v>41</v>
      </c>
      <c r="C507">
        <v>1.1845500469207699</v>
      </c>
      <c r="D507">
        <v>1.1847000122070299</v>
      </c>
      <c r="E507">
        <v>1.18385004997253</v>
      </c>
      <c r="F507">
        <v>1.18389999866485</v>
      </c>
      <c r="G507">
        <v>4771</v>
      </c>
      <c r="H507">
        <v>1.1838500022888101</v>
      </c>
      <c r="I507">
        <v>1.5001296997074699E-4</v>
      </c>
      <c r="J507" t="str">
        <f t="shared" si="59"/>
        <v>UP</v>
      </c>
      <c r="K507">
        <v>1.17950400114059</v>
      </c>
      <c r="L507">
        <v>2.1200180053693101E-4</v>
      </c>
      <c r="M507" t="str">
        <f t="shared" si="60"/>
        <v>UP</v>
      </c>
      <c r="N507">
        <v>4.3460011482239196E-3</v>
      </c>
      <c r="O507" t="str">
        <f t="shared" si="61"/>
        <v>UP</v>
      </c>
      <c r="P507">
        <v>68.322508079227404</v>
      </c>
      <c r="Q507">
        <v>2.39422175218386</v>
      </c>
      <c r="R507" t="str">
        <f t="shared" si="62"/>
        <v>UP</v>
      </c>
      <c r="S507">
        <v>1.18330001831054</v>
      </c>
      <c r="T507" t="str">
        <f t="shared" si="56"/>
        <v>UP</v>
      </c>
      <c r="U507">
        <v>1.18305003643035</v>
      </c>
      <c r="V507" t="str">
        <f t="shared" si="63"/>
        <v>UP</v>
      </c>
      <c r="W507">
        <v>1.1842499971389699</v>
      </c>
      <c r="X507" t="str">
        <f t="shared" si="57"/>
        <v>UP</v>
      </c>
      <c r="Y507">
        <v>1.18359994888305</v>
      </c>
      <c r="Z507" t="str">
        <f t="shared" si="58"/>
        <v>UP</v>
      </c>
      <c r="AA507">
        <v>1</v>
      </c>
      <c r="AB507">
        <v>0</v>
      </c>
      <c r="AC507">
        <v>0</v>
      </c>
      <c r="AD507">
        <v>0</v>
      </c>
    </row>
    <row r="508" spans="1:30" hidden="1" x14ac:dyDescent="0.35">
      <c r="A508" s="2">
        <v>45909</v>
      </c>
      <c r="B508" t="s">
        <v>34</v>
      </c>
      <c r="C508">
        <v>1.18315005302429</v>
      </c>
      <c r="D508">
        <v>1.1846499443054199</v>
      </c>
      <c r="E508">
        <v>1.1822999715805</v>
      </c>
      <c r="F508">
        <v>1.1845999956130899</v>
      </c>
      <c r="G508">
        <v>7428</v>
      </c>
      <c r="H508">
        <v>1.18365001678466</v>
      </c>
      <c r="I508">
        <v>-1.99985504150346E-4</v>
      </c>
      <c r="J508" t="str">
        <f t="shared" si="59"/>
        <v>DOWN</v>
      </c>
      <c r="K508">
        <v>1.17969100236892</v>
      </c>
      <c r="L508">
        <v>1.8700122833270599E-4</v>
      </c>
      <c r="M508" t="str">
        <f t="shared" si="60"/>
        <v>UP</v>
      </c>
      <c r="N508">
        <v>3.9590144157408604E-3</v>
      </c>
      <c r="O508" t="str">
        <f t="shared" si="61"/>
        <v>UP</v>
      </c>
      <c r="P508">
        <v>58.070409006775499</v>
      </c>
      <c r="Q508">
        <v>-10.2520990724518</v>
      </c>
      <c r="R508" t="str">
        <f t="shared" si="62"/>
        <v>DOWN</v>
      </c>
      <c r="S508">
        <v>1.18385004997253</v>
      </c>
      <c r="T508" t="str">
        <f t="shared" si="56"/>
        <v>DOWN</v>
      </c>
      <c r="U508">
        <v>1.18330001831054</v>
      </c>
      <c r="V508" t="str">
        <f t="shared" si="63"/>
        <v>DOWN</v>
      </c>
      <c r="W508">
        <v>1.1847000122070299</v>
      </c>
      <c r="X508" t="str">
        <f t="shared" si="57"/>
        <v>DOWN</v>
      </c>
      <c r="Y508">
        <v>1.1842499971389699</v>
      </c>
      <c r="Z508" t="str">
        <f t="shared" si="58"/>
        <v>UP</v>
      </c>
      <c r="AA508">
        <v>0</v>
      </c>
      <c r="AB508">
        <v>0</v>
      </c>
      <c r="AC508">
        <v>0</v>
      </c>
      <c r="AD508">
        <v>0</v>
      </c>
    </row>
    <row r="509" spans="1:30" hidden="1" x14ac:dyDescent="0.35">
      <c r="A509" s="2">
        <v>45909</v>
      </c>
      <c r="B509" t="s">
        <v>35</v>
      </c>
      <c r="C509">
        <v>1.1819499731063801</v>
      </c>
      <c r="D509">
        <v>1.18350005149841</v>
      </c>
      <c r="E509">
        <v>1.1814999580383301</v>
      </c>
      <c r="F509">
        <v>1.18315005302429</v>
      </c>
      <c r="G509">
        <v>42451</v>
      </c>
      <c r="H509">
        <v>1.18333001136779</v>
      </c>
      <c r="I509">
        <v>-3.20005416870161E-4</v>
      </c>
      <c r="J509" t="str">
        <f t="shared" si="59"/>
        <v>DOWN</v>
      </c>
      <c r="K509">
        <v>1.1798480010032599</v>
      </c>
      <c r="L509">
        <v>1.5699863433837801E-4</v>
      </c>
      <c r="M509" t="str">
        <f t="shared" si="60"/>
        <v>UP</v>
      </c>
      <c r="N509">
        <v>3.4820103645323199E-3</v>
      </c>
      <c r="O509" t="str">
        <f t="shared" si="61"/>
        <v>UP</v>
      </c>
      <c r="P509">
        <v>51.005097918049501</v>
      </c>
      <c r="Q509">
        <v>-7.0653110887259203</v>
      </c>
      <c r="R509" t="str">
        <f t="shared" si="62"/>
        <v>DOWN</v>
      </c>
      <c r="S509">
        <v>1.1822999715805</v>
      </c>
      <c r="T509" t="str">
        <f t="shared" si="56"/>
        <v>DOWN</v>
      </c>
      <c r="U509">
        <v>1.18385004997253</v>
      </c>
      <c r="V509" t="str">
        <f t="shared" si="63"/>
        <v>DOWN</v>
      </c>
      <c r="W509">
        <v>1.1846499443054199</v>
      </c>
      <c r="X509" t="str">
        <f t="shared" si="57"/>
        <v>DOWN</v>
      </c>
      <c r="Y509">
        <v>1.1847000122070299</v>
      </c>
      <c r="Z509" t="str">
        <f t="shared" si="58"/>
        <v>DOWN</v>
      </c>
      <c r="AA509">
        <v>0</v>
      </c>
      <c r="AB509">
        <v>0</v>
      </c>
      <c r="AC509">
        <v>0</v>
      </c>
      <c r="AD509">
        <v>0</v>
      </c>
    </row>
    <row r="510" spans="1:30" hidden="1" x14ac:dyDescent="0.35">
      <c r="A510" s="2">
        <v>45909</v>
      </c>
      <c r="B510" t="s">
        <v>36</v>
      </c>
      <c r="C510">
        <v>1.1826000213623</v>
      </c>
      <c r="D510">
        <v>1.18285000324249</v>
      </c>
      <c r="E510">
        <v>1.1811000108718801</v>
      </c>
      <c r="F510">
        <v>1.1819000244140601</v>
      </c>
      <c r="G510">
        <v>15253</v>
      </c>
      <c r="H510">
        <v>1.1832400083541801</v>
      </c>
      <c r="I510" s="1">
        <v>-9.0003013610839803E-5</v>
      </c>
      <c r="J510" t="str">
        <f t="shared" si="59"/>
        <v>DOWN</v>
      </c>
      <c r="K510">
        <v>1.1800270009040801</v>
      </c>
      <c r="L510">
        <v>1.78999900817711E-4</v>
      </c>
      <c r="M510" t="str">
        <f t="shared" si="60"/>
        <v>UP</v>
      </c>
      <c r="N510">
        <v>3.2130074501037702E-3</v>
      </c>
      <c r="O510" t="str">
        <f t="shared" si="61"/>
        <v>UP</v>
      </c>
      <c r="P510">
        <v>54.251996070616698</v>
      </c>
      <c r="Q510">
        <v>3.2468981525671601</v>
      </c>
      <c r="R510" t="str">
        <f t="shared" si="62"/>
        <v>UP</v>
      </c>
      <c r="S510">
        <v>1.1814999580383301</v>
      </c>
      <c r="T510" t="str">
        <f t="shared" si="56"/>
        <v>DOWN</v>
      </c>
      <c r="U510">
        <v>1.1822999715805</v>
      </c>
      <c r="V510" t="str">
        <f t="shared" si="63"/>
        <v>DOWN</v>
      </c>
      <c r="W510">
        <v>1.18350005149841</v>
      </c>
      <c r="X510" t="str">
        <f t="shared" si="57"/>
        <v>DOWN</v>
      </c>
      <c r="Y510">
        <v>1.1846499443054199</v>
      </c>
      <c r="Z510" t="str">
        <f t="shared" si="58"/>
        <v>DOWN</v>
      </c>
      <c r="AA510">
        <v>0</v>
      </c>
      <c r="AB510">
        <v>0</v>
      </c>
      <c r="AC510">
        <v>0</v>
      </c>
      <c r="AD510">
        <v>0</v>
      </c>
    </row>
    <row r="511" spans="1:30" hidden="1" x14ac:dyDescent="0.35">
      <c r="A511" s="2">
        <v>45909</v>
      </c>
      <c r="B511" t="s">
        <v>37</v>
      </c>
      <c r="C511">
        <v>1.18340003490448</v>
      </c>
      <c r="D511">
        <v>1.18385004997253</v>
      </c>
      <c r="E511">
        <v>1.18264997005462</v>
      </c>
      <c r="F511">
        <v>1.18264997005462</v>
      </c>
      <c r="G511">
        <v>16476</v>
      </c>
      <c r="H511">
        <v>1.1831300258636399</v>
      </c>
      <c r="I511">
        <v>-1.0998249053950601E-4</v>
      </c>
      <c r="J511" t="str">
        <f t="shared" si="59"/>
        <v>DOWN</v>
      </c>
      <c r="K511">
        <v>1.1802010011672901</v>
      </c>
      <c r="L511">
        <v>1.74000263214235E-4</v>
      </c>
      <c r="M511" t="str">
        <f t="shared" si="60"/>
        <v>UP</v>
      </c>
      <c r="N511">
        <v>2.9290246963500298E-3</v>
      </c>
      <c r="O511" t="str">
        <f t="shared" si="61"/>
        <v>UP</v>
      </c>
      <c r="P511">
        <v>57.945719730237997</v>
      </c>
      <c r="Q511">
        <v>3.6937236596212499</v>
      </c>
      <c r="R511" t="str">
        <f t="shared" si="62"/>
        <v>UP</v>
      </c>
      <c r="S511">
        <v>1.1811000108718801</v>
      </c>
      <c r="T511" t="str">
        <f t="shared" si="56"/>
        <v>UP</v>
      </c>
      <c r="U511">
        <v>1.1814999580383301</v>
      </c>
      <c r="V511" t="str">
        <f t="shared" si="63"/>
        <v>UP</v>
      </c>
      <c r="W511">
        <v>1.18285000324249</v>
      </c>
      <c r="X511" t="str">
        <f t="shared" si="57"/>
        <v>UP</v>
      </c>
      <c r="Y511">
        <v>1.18350005149841</v>
      </c>
      <c r="Z511" t="str">
        <f t="shared" si="58"/>
        <v>UP</v>
      </c>
      <c r="AA511">
        <v>0</v>
      </c>
      <c r="AB511">
        <v>0</v>
      </c>
      <c r="AC511">
        <v>0</v>
      </c>
      <c r="AD511">
        <v>0</v>
      </c>
    </row>
    <row r="512" spans="1:30" hidden="1" x14ac:dyDescent="0.35">
      <c r="A512" s="2">
        <v>45909</v>
      </c>
      <c r="B512" t="s">
        <v>20</v>
      </c>
      <c r="C512">
        <v>1.1820000410079901</v>
      </c>
      <c r="D512">
        <v>1.18379998207092</v>
      </c>
      <c r="E512">
        <v>1.1819000244140601</v>
      </c>
      <c r="F512">
        <v>1.1834499835968</v>
      </c>
      <c r="G512">
        <v>8586</v>
      </c>
      <c r="H512">
        <v>1.1826200246810901</v>
      </c>
      <c r="I512">
        <v>-5.1000118255606298E-4</v>
      </c>
      <c r="J512" t="str">
        <f t="shared" si="59"/>
        <v>DOWN</v>
      </c>
      <c r="K512">
        <v>1.18036200284957</v>
      </c>
      <c r="L512">
        <v>1.61001682281503E-4</v>
      </c>
      <c r="M512" t="str">
        <f t="shared" si="60"/>
        <v>UP</v>
      </c>
      <c r="N512">
        <v>2.2580218315124598E-3</v>
      </c>
      <c r="O512" t="str">
        <f t="shared" si="61"/>
        <v>UP</v>
      </c>
      <c r="P512">
        <v>50.293038652772204</v>
      </c>
      <c r="Q512">
        <v>-7.6526810774657203</v>
      </c>
      <c r="R512" t="str">
        <f t="shared" si="62"/>
        <v>DOWN</v>
      </c>
      <c r="S512">
        <v>1.18264997005462</v>
      </c>
      <c r="T512" t="str">
        <f t="shared" si="56"/>
        <v>DOWN</v>
      </c>
      <c r="U512">
        <v>1.1811000108718801</v>
      </c>
      <c r="V512" t="str">
        <f t="shared" si="63"/>
        <v>UP</v>
      </c>
      <c r="W512">
        <v>1.18385004997253</v>
      </c>
      <c r="X512" t="str">
        <f t="shared" si="57"/>
        <v>DOWN</v>
      </c>
      <c r="Y512">
        <v>1.18285000324249</v>
      </c>
      <c r="Z512" t="str">
        <f t="shared" si="58"/>
        <v>UP</v>
      </c>
      <c r="AA512">
        <v>0</v>
      </c>
      <c r="AB512">
        <v>0</v>
      </c>
      <c r="AC512">
        <v>0</v>
      </c>
      <c r="AD512">
        <v>0</v>
      </c>
    </row>
    <row r="513" spans="1:30" hidden="1" x14ac:dyDescent="0.35">
      <c r="A513" s="2">
        <v>45909</v>
      </c>
      <c r="B513" t="s">
        <v>21</v>
      </c>
      <c r="C513">
        <v>1.1808999776840201</v>
      </c>
      <c r="D513">
        <v>1.1821000576019201</v>
      </c>
      <c r="E513">
        <v>1.1807999610900799</v>
      </c>
      <c r="F513">
        <v>1.1821000576019201</v>
      </c>
      <c r="G513">
        <v>21959</v>
      </c>
      <c r="H513">
        <v>1.1821700096130301</v>
      </c>
      <c r="I513">
        <v>-4.50015068054199E-4</v>
      </c>
      <c r="J513" t="str">
        <f t="shared" si="59"/>
        <v>DOWN</v>
      </c>
      <c r="K513">
        <v>1.18048600196838</v>
      </c>
      <c r="L513">
        <v>1.2399911880489601E-4</v>
      </c>
      <c r="M513" t="str">
        <f t="shared" si="60"/>
        <v>UP</v>
      </c>
      <c r="N513">
        <v>1.6840076446533699E-3</v>
      </c>
      <c r="O513" t="str">
        <f t="shared" si="61"/>
        <v>UP</v>
      </c>
      <c r="P513">
        <v>45.237503761894899</v>
      </c>
      <c r="Q513">
        <v>-5.0555348908773796</v>
      </c>
      <c r="R513" t="str">
        <f t="shared" si="62"/>
        <v>DOWN</v>
      </c>
      <c r="S513">
        <v>1.1819000244140601</v>
      </c>
      <c r="T513" t="str">
        <f t="shared" si="56"/>
        <v>DOWN</v>
      </c>
      <c r="U513">
        <v>1.18264997005462</v>
      </c>
      <c r="V513" t="str">
        <f t="shared" si="63"/>
        <v>DOWN</v>
      </c>
      <c r="W513">
        <v>1.18379998207092</v>
      </c>
      <c r="X513" t="str">
        <f t="shared" si="57"/>
        <v>DOWN</v>
      </c>
      <c r="Y513">
        <v>1.18385004997253</v>
      </c>
      <c r="Z513" t="str">
        <f t="shared" si="58"/>
        <v>DOWN</v>
      </c>
      <c r="AA513">
        <v>0</v>
      </c>
      <c r="AB513">
        <v>0</v>
      </c>
      <c r="AC513">
        <v>0</v>
      </c>
      <c r="AD513">
        <v>0</v>
      </c>
    </row>
    <row r="514" spans="1:30" hidden="1" x14ac:dyDescent="0.35">
      <c r="A514" s="2">
        <v>45909</v>
      </c>
      <c r="B514" t="s">
        <v>22</v>
      </c>
      <c r="C514">
        <v>1.1804000139236399</v>
      </c>
      <c r="D514">
        <v>1.1811499595642001</v>
      </c>
      <c r="E514">
        <v>1.1793999671936</v>
      </c>
      <c r="F514">
        <v>1.1809500455856301</v>
      </c>
      <c r="G514">
        <v>20251</v>
      </c>
      <c r="H514">
        <v>1.18186001777648</v>
      </c>
      <c r="I514">
        <v>-3.09991836547895E-4</v>
      </c>
      <c r="J514" t="str">
        <f t="shared" si="59"/>
        <v>DOWN</v>
      </c>
      <c r="K514">
        <v>1.1805900025367699</v>
      </c>
      <c r="L514">
        <v>1.0400056838988301E-4</v>
      </c>
      <c r="M514" t="str">
        <f t="shared" si="60"/>
        <v>UP</v>
      </c>
      <c r="N514">
        <v>1.27001523971559E-3</v>
      </c>
      <c r="O514" t="str">
        <f t="shared" si="61"/>
        <v>UP</v>
      </c>
      <c r="P514">
        <v>43.116188941926097</v>
      </c>
      <c r="Q514">
        <v>-2.1213148199687901</v>
      </c>
      <c r="R514" t="str">
        <f t="shared" si="62"/>
        <v>DOWN</v>
      </c>
      <c r="S514">
        <v>1.1807999610900799</v>
      </c>
      <c r="T514" t="str">
        <f t="shared" ref="T514:T574" si="64">IF((E514-S514)&lt;0,"DOWN","UP")</f>
        <v>DOWN</v>
      </c>
      <c r="U514">
        <v>1.1819000244140601</v>
      </c>
      <c r="V514" t="str">
        <f t="shared" si="63"/>
        <v>DOWN</v>
      </c>
      <c r="W514">
        <v>1.1821000576019201</v>
      </c>
      <c r="X514" t="str">
        <f t="shared" ref="X514:X574" si="65">IF((D514-W514)&gt;0,"UP","DOWN")</f>
        <v>DOWN</v>
      </c>
      <c r="Y514">
        <v>1.18379998207092</v>
      </c>
      <c r="Z514" t="str">
        <f t="shared" ref="Z514:Z570" si="66">IF((D514-Y514)&gt;0,"UP","DOWN")</f>
        <v>DOWN</v>
      </c>
      <c r="AA514">
        <v>0</v>
      </c>
      <c r="AB514">
        <v>0</v>
      </c>
      <c r="AC514">
        <v>0</v>
      </c>
      <c r="AD514">
        <v>0</v>
      </c>
    </row>
    <row r="515" spans="1:30" hidden="1" x14ac:dyDescent="0.35">
      <c r="A515" s="2">
        <v>45909</v>
      </c>
      <c r="B515" t="s">
        <v>23</v>
      </c>
      <c r="C515">
        <v>1.1808999776840201</v>
      </c>
      <c r="D515">
        <v>1.1815500259399401</v>
      </c>
      <c r="E515">
        <v>1.1800999641418399</v>
      </c>
      <c r="F515">
        <v>1.1804000139236399</v>
      </c>
      <c r="G515">
        <v>15985</v>
      </c>
      <c r="H515">
        <v>1.18152000904083</v>
      </c>
      <c r="I515">
        <v>-3.4000873565687102E-4</v>
      </c>
      <c r="J515" t="str">
        <f t="shared" ref="J515:J574" si="67">IF(I515&gt;0,"UP","DOWN")</f>
        <v>DOWN</v>
      </c>
      <c r="K515">
        <v>1.18069400310516</v>
      </c>
      <c r="L515">
        <v>1.0400056838988301E-4</v>
      </c>
      <c r="M515" t="str">
        <f t="shared" ref="M515:M574" si="68">IF(L515&gt;0,"UP","DOWN")</f>
        <v>UP</v>
      </c>
      <c r="N515">
        <v>8.2600593566883797E-4</v>
      </c>
      <c r="O515" t="str">
        <f t="shared" ref="O515:O574" si="69">IF(N515&gt;0,"UP","DOWN")</f>
        <v>UP</v>
      </c>
      <c r="P515">
        <v>45.850726013116102</v>
      </c>
      <c r="Q515">
        <v>2.7345370711899899</v>
      </c>
      <c r="R515" t="str">
        <f t="shared" ref="R515:R574" si="70">IF(Q515&gt;0,"UP","DOWN")</f>
        <v>UP</v>
      </c>
      <c r="S515">
        <v>1.1793999671936</v>
      </c>
      <c r="T515" t="str">
        <f t="shared" si="64"/>
        <v>UP</v>
      </c>
      <c r="U515">
        <v>1.1807999610900799</v>
      </c>
      <c r="V515" t="str">
        <f t="shared" ref="V515:V570" si="71">IF((E515-U515)&lt;0,"DOWN","UP")</f>
        <v>DOWN</v>
      </c>
      <c r="W515">
        <v>1.1811499595642001</v>
      </c>
      <c r="X515" t="str">
        <f t="shared" si="65"/>
        <v>UP</v>
      </c>
      <c r="Y515">
        <v>1.1821000576019201</v>
      </c>
      <c r="Z515" t="str">
        <f t="shared" si="66"/>
        <v>DOWN</v>
      </c>
      <c r="AA515">
        <v>0</v>
      </c>
      <c r="AB515">
        <v>0</v>
      </c>
      <c r="AC515">
        <v>0</v>
      </c>
      <c r="AD515">
        <v>0</v>
      </c>
    </row>
    <row r="516" spans="1:30" hidden="1" x14ac:dyDescent="0.35">
      <c r="A516" s="2">
        <v>45909</v>
      </c>
      <c r="B516" t="s">
        <v>24</v>
      </c>
      <c r="C516">
        <v>1.1797000169753999</v>
      </c>
      <c r="D516">
        <v>1.18285000324249</v>
      </c>
      <c r="E516">
        <v>1.17894995212554</v>
      </c>
      <c r="F516">
        <v>1.1808999776840201</v>
      </c>
      <c r="G516">
        <v>23098</v>
      </c>
      <c r="H516">
        <v>1.1807800054550099</v>
      </c>
      <c r="I516">
        <v>-7.4000358581538495E-4</v>
      </c>
      <c r="J516" t="str">
        <f t="shared" si="67"/>
        <v>DOWN</v>
      </c>
      <c r="K516">
        <v>1.18076500415802</v>
      </c>
      <c r="L516" s="1">
        <v>7.1001052856400904E-5</v>
      </c>
      <c r="M516" t="str">
        <f t="shared" si="68"/>
        <v>UP</v>
      </c>
      <c r="N516" s="1">
        <v>1.50012969970525E-5</v>
      </c>
      <c r="O516" t="str">
        <f t="shared" si="69"/>
        <v>UP</v>
      </c>
      <c r="P516">
        <v>40.783266156110699</v>
      </c>
      <c r="Q516">
        <v>-5.0674598570054101</v>
      </c>
      <c r="R516" t="str">
        <f t="shared" si="70"/>
        <v>DOWN</v>
      </c>
      <c r="S516">
        <v>1.1800999641418399</v>
      </c>
      <c r="T516" t="str">
        <f t="shared" si="64"/>
        <v>DOWN</v>
      </c>
      <c r="U516">
        <v>1.1793999671936</v>
      </c>
      <c r="V516" t="str">
        <f t="shared" si="71"/>
        <v>DOWN</v>
      </c>
      <c r="W516">
        <v>1.1815500259399401</v>
      </c>
      <c r="X516" t="str">
        <f t="shared" si="65"/>
        <v>UP</v>
      </c>
      <c r="Y516">
        <v>1.1811499595642001</v>
      </c>
      <c r="Z516" t="str">
        <f t="shared" si="66"/>
        <v>UP</v>
      </c>
      <c r="AA516">
        <v>0</v>
      </c>
      <c r="AB516">
        <v>0</v>
      </c>
      <c r="AC516">
        <v>0</v>
      </c>
      <c r="AD516">
        <v>0</v>
      </c>
    </row>
    <row r="517" spans="1:30" hidden="1" x14ac:dyDescent="0.35">
      <c r="A517" s="2">
        <v>45909</v>
      </c>
      <c r="B517" t="s">
        <v>25</v>
      </c>
      <c r="C517">
        <v>1.1788500547409</v>
      </c>
      <c r="D517">
        <v>1.1798000335693299</v>
      </c>
      <c r="E517">
        <v>1.17830002307891</v>
      </c>
      <c r="F517">
        <v>1.1797000169753999</v>
      </c>
      <c r="G517">
        <v>24289</v>
      </c>
      <c r="H517">
        <v>1.1801500082015901</v>
      </c>
      <c r="I517">
        <v>-6.2999725341783498E-4</v>
      </c>
      <c r="J517" t="str">
        <f t="shared" si="67"/>
        <v>DOWN</v>
      </c>
      <c r="K517">
        <v>1.1808290052413899</v>
      </c>
      <c r="L517" s="1">
        <v>6.4001083374121096E-5</v>
      </c>
      <c r="M517" t="str">
        <f t="shared" si="68"/>
        <v>UP</v>
      </c>
      <c r="N517">
        <v>-6.78997039794904E-4</v>
      </c>
      <c r="O517" t="str">
        <f t="shared" si="69"/>
        <v>DOWN</v>
      </c>
      <c r="P517">
        <v>37.612302208587003</v>
      </c>
      <c r="Q517">
        <v>-3.17096394752366</v>
      </c>
      <c r="R517" t="str">
        <f t="shared" si="70"/>
        <v>DOWN</v>
      </c>
      <c r="S517">
        <v>1.17894995212554</v>
      </c>
      <c r="T517" t="str">
        <f t="shared" si="64"/>
        <v>DOWN</v>
      </c>
      <c r="U517">
        <v>1.1800999641418399</v>
      </c>
      <c r="V517" t="str">
        <f t="shared" si="71"/>
        <v>DOWN</v>
      </c>
      <c r="W517">
        <v>1.18285000324249</v>
      </c>
      <c r="X517" t="str">
        <f t="shared" si="65"/>
        <v>DOWN</v>
      </c>
      <c r="Y517">
        <v>1.1815500259399401</v>
      </c>
      <c r="Z517" t="str">
        <f t="shared" si="66"/>
        <v>DOWN</v>
      </c>
      <c r="AA517">
        <v>0</v>
      </c>
      <c r="AB517">
        <v>0</v>
      </c>
      <c r="AC517">
        <v>0</v>
      </c>
      <c r="AD517">
        <v>0</v>
      </c>
    </row>
    <row r="518" spans="1:30" hidden="1" x14ac:dyDescent="0.35">
      <c r="A518" s="2">
        <v>45909</v>
      </c>
      <c r="B518" t="s">
        <v>26</v>
      </c>
      <c r="C518">
        <v>1.1785500049591</v>
      </c>
      <c r="D518">
        <v>1.1796499490737899</v>
      </c>
      <c r="E518">
        <v>1.1785500049591</v>
      </c>
      <c r="F518">
        <v>1.17890000343322</v>
      </c>
      <c r="G518">
        <v>1531</v>
      </c>
      <c r="H518">
        <v>1.1796800136566099</v>
      </c>
      <c r="I518">
        <v>-4.6999454498308698E-4</v>
      </c>
      <c r="J518" t="str">
        <f t="shared" si="67"/>
        <v>DOWN</v>
      </c>
      <c r="K518">
        <v>1.1807950043678199</v>
      </c>
      <c r="L518" s="1">
        <v>-3.4000873565753703E-5</v>
      </c>
      <c r="M518" t="str">
        <f t="shared" si="68"/>
        <v>DOWN</v>
      </c>
      <c r="N518">
        <v>-1.1149907112122299E-3</v>
      </c>
      <c r="O518" t="str">
        <f t="shared" si="69"/>
        <v>DOWN</v>
      </c>
      <c r="P518">
        <v>36.532444813697097</v>
      </c>
      <c r="Q518">
        <v>-1.07985739488987</v>
      </c>
      <c r="R518" t="str">
        <f t="shared" si="70"/>
        <v>DOWN</v>
      </c>
      <c r="S518">
        <v>1.17830002307891</v>
      </c>
      <c r="T518" t="str">
        <f t="shared" si="64"/>
        <v>UP</v>
      </c>
      <c r="U518">
        <v>1.17894995212554</v>
      </c>
      <c r="V518" t="str">
        <f t="shared" si="71"/>
        <v>DOWN</v>
      </c>
      <c r="W518">
        <v>1.1798000335693299</v>
      </c>
      <c r="X518" t="str">
        <f t="shared" si="65"/>
        <v>DOWN</v>
      </c>
      <c r="Y518">
        <v>1.18285000324249</v>
      </c>
      <c r="Z518" t="str">
        <f t="shared" si="66"/>
        <v>DOWN</v>
      </c>
      <c r="AA518">
        <v>0</v>
      </c>
      <c r="AB518">
        <v>0</v>
      </c>
      <c r="AC518">
        <v>0</v>
      </c>
      <c r="AD518">
        <v>0</v>
      </c>
    </row>
    <row r="519" spans="1:30" hidden="1" x14ac:dyDescent="0.35">
      <c r="A519" s="2">
        <v>45909</v>
      </c>
      <c r="B519" t="s">
        <v>27</v>
      </c>
      <c r="C519">
        <v>1.1776000261306701</v>
      </c>
      <c r="D519">
        <v>1.17900002002716</v>
      </c>
      <c r="E519">
        <v>1.1775499582290601</v>
      </c>
      <c r="F519">
        <v>1.17859995365142</v>
      </c>
      <c r="G519">
        <v>1806</v>
      </c>
      <c r="H519">
        <v>1.17912001609802</v>
      </c>
      <c r="I519">
        <v>-5.5999755859370505E-4</v>
      </c>
      <c r="J519" t="str">
        <f t="shared" si="67"/>
        <v>DOWN</v>
      </c>
      <c r="K519">
        <v>1.18071300506591</v>
      </c>
      <c r="L519" s="1">
        <v>-8.1999301910329296E-5</v>
      </c>
      <c r="M519" t="str">
        <f t="shared" si="68"/>
        <v>DOWN</v>
      </c>
      <c r="N519">
        <v>-1.5929889678956101E-3</v>
      </c>
      <c r="O519" t="str">
        <f t="shared" si="69"/>
        <v>DOWN</v>
      </c>
      <c r="P519">
        <v>33.275117628943001</v>
      </c>
      <c r="Q519">
        <v>-3.2573271847540801</v>
      </c>
      <c r="R519" t="str">
        <f t="shared" si="70"/>
        <v>DOWN</v>
      </c>
      <c r="S519">
        <v>1.1785500049591</v>
      </c>
      <c r="T519" t="str">
        <f t="shared" si="64"/>
        <v>DOWN</v>
      </c>
      <c r="U519">
        <v>1.17830002307891</v>
      </c>
      <c r="V519" t="str">
        <f t="shared" si="71"/>
        <v>DOWN</v>
      </c>
      <c r="W519">
        <v>1.1796499490737899</v>
      </c>
      <c r="X519" t="str">
        <f t="shared" si="65"/>
        <v>DOWN</v>
      </c>
      <c r="Y519">
        <v>1.1798000335693299</v>
      </c>
      <c r="Z519" t="str">
        <f t="shared" si="66"/>
        <v>DOWN</v>
      </c>
      <c r="AA519">
        <v>0</v>
      </c>
      <c r="AB519">
        <v>0</v>
      </c>
      <c r="AC519">
        <v>0</v>
      </c>
      <c r="AD519">
        <v>0</v>
      </c>
    </row>
    <row r="520" spans="1:30" hidden="1" x14ac:dyDescent="0.35">
      <c r="A520" s="2">
        <v>45909</v>
      </c>
      <c r="B520" t="s">
        <v>38</v>
      </c>
      <c r="C520">
        <v>1.1773500442504801</v>
      </c>
      <c r="D520">
        <v>1.17809998989105</v>
      </c>
      <c r="E520">
        <v>1.1770499944686801</v>
      </c>
      <c r="F520">
        <v>1.1775000095367401</v>
      </c>
      <c r="G520">
        <v>1995</v>
      </c>
      <c r="H520">
        <v>1.17841002941131</v>
      </c>
      <c r="I520">
        <v>-7.0998668670640898E-4</v>
      </c>
      <c r="J520" t="str">
        <f t="shared" si="67"/>
        <v>DOWN</v>
      </c>
      <c r="K520">
        <v>1.18065000534057</v>
      </c>
      <c r="L520" s="1">
        <v>-6.2999725341850098E-5</v>
      </c>
      <c r="M520" t="str">
        <f t="shared" si="68"/>
        <v>DOWN</v>
      </c>
      <c r="N520">
        <v>-2.2399759292601701E-3</v>
      </c>
      <c r="O520" t="str">
        <f t="shared" si="69"/>
        <v>DOWN</v>
      </c>
      <c r="P520">
        <v>32.4550600422264</v>
      </c>
      <c r="Q520">
        <v>-0.82005758671661499</v>
      </c>
      <c r="R520" t="str">
        <f t="shared" si="70"/>
        <v>DOWN</v>
      </c>
      <c r="S520">
        <v>1.1775499582290601</v>
      </c>
      <c r="T520" t="str">
        <f t="shared" si="64"/>
        <v>DOWN</v>
      </c>
      <c r="U520">
        <v>1.1785500049591</v>
      </c>
      <c r="V520" t="str">
        <f t="shared" si="71"/>
        <v>DOWN</v>
      </c>
      <c r="W520">
        <v>1.17900002002716</v>
      </c>
      <c r="X520" t="str">
        <f t="shared" si="65"/>
        <v>DOWN</v>
      </c>
      <c r="Y520">
        <v>1.1796499490737899</v>
      </c>
      <c r="Z520" t="str">
        <f t="shared" si="66"/>
        <v>DOWN</v>
      </c>
      <c r="AA520">
        <v>0</v>
      </c>
      <c r="AB520">
        <v>0</v>
      </c>
      <c r="AC520">
        <v>0</v>
      </c>
      <c r="AD520">
        <v>0</v>
      </c>
    </row>
    <row r="521" spans="1:30" hidden="1" x14ac:dyDescent="0.35">
      <c r="A521" s="2">
        <v>45909</v>
      </c>
      <c r="B521" t="s">
        <v>28</v>
      </c>
      <c r="C521">
        <v>1.1772999763488701</v>
      </c>
      <c r="D521">
        <v>1.1776000261306701</v>
      </c>
      <c r="E521">
        <v>1.1770499944686801</v>
      </c>
      <c r="F521">
        <v>1.1773500442504801</v>
      </c>
      <c r="G521">
        <v>1522</v>
      </c>
      <c r="H521">
        <v>1.17793002128601</v>
      </c>
      <c r="I521">
        <v>-4.8000812530535298E-4</v>
      </c>
      <c r="J521" t="str">
        <f t="shared" si="67"/>
        <v>DOWN</v>
      </c>
      <c r="K521">
        <v>1.18054200410842</v>
      </c>
      <c r="L521">
        <v>-1.0800123214727001E-4</v>
      </c>
      <c r="M521" t="str">
        <f t="shared" si="68"/>
        <v>DOWN</v>
      </c>
      <c r="N521">
        <v>-2.6119828224182499E-3</v>
      </c>
      <c r="O521" t="str">
        <f t="shared" si="69"/>
        <v>DOWN</v>
      </c>
      <c r="P521">
        <v>32.2834509683532</v>
      </c>
      <c r="Q521">
        <v>-0.17160907387319899</v>
      </c>
      <c r="R521" t="str">
        <f t="shared" si="70"/>
        <v>DOWN</v>
      </c>
      <c r="S521">
        <v>1.1770499944686801</v>
      </c>
      <c r="T521" t="str">
        <f t="shared" si="64"/>
        <v>UP</v>
      </c>
      <c r="U521">
        <v>1.1775499582290601</v>
      </c>
      <c r="V521" t="str">
        <f t="shared" si="71"/>
        <v>DOWN</v>
      </c>
      <c r="W521">
        <v>1.17809998989105</v>
      </c>
      <c r="X521" t="str">
        <f t="shared" si="65"/>
        <v>DOWN</v>
      </c>
      <c r="Y521">
        <v>1.17900002002716</v>
      </c>
      <c r="Z521" t="str">
        <f t="shared" si="66"/>
        <v>DOWN</v>
      </c>
      <c r="AA521">
        <v>0</v>
      </c>
      <c r="AB521">
        <v>0</v>
      </c>
      <c r="AC521">
        <v>0</v>
      </c>
      <c r="AD521">
        <v>0</v>
      </c>
    </row>
    <row r="522" spans="1:30" hidden="1" x14ac:dyDescent="0.35">
      <c r="A522" s="2">
        <v>45909</v>
      </c>
      <c r="B522" t="s">
        <v>39</v>
      </c>
      <c r="C522">
        <v>1.1775000095367401</v>
      </c>
      <c r="D522">
        <v>1.17780005931854</v>
      </c>
      <c r="E522">
        <v>1.1771500110626201</v>
      </c>
      <c r="F522">
        <v>1.1772999763488701</v>
      </c>
      <c r="G522">
        <v>4298</v>
      </c>
      <c r="H522">
        <v>1.1776600122451699</v>
      </c>
      <c r="I522">
        <v>-2.7000904083251899E-4</v>
      </c>
      <c r="J522" t="str">
        <f t="shared" si="67"/>
        <v>DOWN</v>
      </c>
      <c r="K522">
        <v>1.1804770040512</v>
      </c>
      <c r="L522" s="1">
        <v>-6.5000057220432298E-5</v>
      </c>
      <c r="M522" t="str">
        <f t="shared" si="68"/>
        <v>DOWN</v>
      </c>
      <c r="N522">
        <v>-2.8169918060303402E-3</v>
      </c>
      <c r="O522" t="str">
        <f t="shared" si="69"/>
        <v>DOWN</v>
      </c>
      <c r="P522">
        <v>33.789747324032902</v>
      </c>
      <c r="Q522">
        <v>1.50629635567969</v>
      </c>
      <c r="R522" t="str">
        <f t="shared" si="70"/>
        <v>UP</v>
      </c>
      <c r="S522">
        <v>1.1770499944686801</v>
      </c>
      <c r="T522" t="str">
        <f t="shared" si="64"/>
        <v>UP</v>
      </c>
      <c r="U522">
        <v>1.1770499944686801</v>
      </c>
      <c r="V522" t="str">
        <f t="shared" si="71"/>
        <v>UP</v>
      </c>
      <c r="W522">
        <v>1.1776000261306701</v>
      </c>
      <c r="X522" t="str">
        <f t="shared" si="65"/>
        <v>UP</v>
      </c>
      <c r="Y522">
        <v>1.17809998989105</v>
      </c>
      <c r="Z522" t="str">
        <f t="shared" si="66"/>
        <v>DOWN</v>
      </c>
      <c r="AA522">
        <v>0</v>
      </c>
      <c r="AB522">
        <v>0</v>
      </c>
      <c r="AC522">
        <v>0</v>
      </c>
      <c r="AD522">
        <v>0</v>
      </c>
    </row>
    <row r="523" spans="1:30" hidden="1" x14ac:dyDescent="0.35">
      <c r="A523" s="2">
        <v>45909</v>
      </c>
      <c r="B523" t="s">
        <v>40</v>
      </c>
      <c r="C523">
        <v>1.17780005931854</v>
      </c>
      <c r="D523">
        <v>1.17799997329711</v>
      </c>
      <c r="E523">
        <v>1.1774499416351301</v>
      </c>
      <c r="F523">
        <v>1.17799997329711</v>
      </c>
      <c r="G523">
        <v>0</v>
      </c>
      <c r="H523">
        <v>1.1775100231170601</v>
      </c>
      <c r="I523">
        <v>-1.4998912811270399E-4</v>
      </c>
      <c r="J523" t="str">
        <f t="shared" si="67"/>
        <v>DOWN</v>
      </c>
      <c r="K523">
        <v>1.1804440045356701</v>
      </c>
      <c r="L523" s="1">
        <v>-3.2999515533482698E-5</v>
      </c>
      <c r="M523" t="str">
        <f t="shared" si="68"/>
        <v>DOWN</v>
      </c>
      <c r="N523">
        <v>-2.9339814186095602E-3</v>
      </c>
      <c r="O523" t="str">
        <f t="shared" si="69"/>
        <v>DOWN</v>
      </c>
      <c r="P523">
        <v>36.086346446355797</v>
      </c>
      <c r="Q523">
        <v>2.2965991223228799</v>
      </c>
      <c r="R523" t="str">
        <f t="shared" si="70"/>
        <v>UP</v>
      </c>
      <c r="S523">
        <v>1.1771500110626201</v>
      </c>
      <c r="T523" t="str">
        <f t="shared" si="64"/>
        <v>UP</v>
      </c>
      <c r="U523">
        <v>1.1770499944686801</v>
      </c>
      <c r="V523" t="str">
        <f t="shared" si="71"/>
        <v>UP</v>
      </c>
      <c r="W523">
        <v>1.17780005931854</v>
      </c>
      <c r="X523" t="str">
        <f t="shared" si="65"/>
        <v>UP</v>
      </c>
      <c r="Y523">
        <v>1.1776000261306701</v>
      </c>
      <c r="Z523" t="str">
        <f t="shared" si="66"/>
        <v>UP</v>
      </c>
      <c r="AA523">
        <v>0</v>
      </c>
      <c r="AB523">
        <v>0</v>
      </c>
      <c r="AC523">
        <v>0</v>
      </c>
      <c r="AD523">
        <v>0</v>
      </c>
    </row>
    <row r="524" spans="1:30" hidden="1" x14ac:dyDescent="0.35">
      <c r="A524" s="2">
        <v>45909</v>
      </c>
      <c r="B524" t="s">
        <v>42</v>
      </c>
      <c r="C524">
        <v>1.1769000291824301</v>
      </c>
      <c r="D524">
        <v>1.17774999141693</v>
      </c>
      <c r="E524">
        <v>1.1763499975204399</v>
      </c>
      <c r="F524">
        <v>1.17774999141693</v>
      </c>
      <c r="G524">
        <v>579</v>
      </c>
      <c r="H524">
        <v>1.1773700237274101</v>
      </c>
      <c r="I524">
        <v>-1.3999938964848099E-4</v>
      </c>
      <c r="J524" t="str">
        <f t="shared" si="67"/>
        <v>DOWN</v>
      </c>
      <c r="K524">
        <v>1.18041100502014</v>
      </c>
      <c r="L524" s="1">
        <v>-3.2999515533482698E-5</v>
      </c>
      <c r="M524" t="str">
        <f t="shared" si="68"/>
        <v>DOWN</v>
      </c>
      <c r="N524">
        <v>-3.0409812927245602E-3</v>
      </c>
      <c r="O524" t="str">
        <f t="shared" si="69"/>
        <v>DOWN</v>
      </c>
      <c r="P524">
        <v>32.450317597091299</v>
      </c>
      <c r="Q524">
        <v>-3.6360288492644601</v>
      </c>
      <c r="R524" t="str">
        <f t="shared" si="70"/>
        <v>DOWN</v>
      </c>
      <c r="S524">
        <v>1.1774499416351301</v>
      </c>
      <c r="T524" t="str">
        <f t="shared" si="64"/>
        <v>DOWN</v>
      </c>
      <c r="U524">
        <v>1.1771500110626201</v>
      </c>
      <c r="V524" t="str">
        <f t="shared" si="71"/>
        <v>DOWN</v>
      </c>
      <c r="W524">
        <v>1.17799997329711</v>
      </c>
      <c r="X524" t="str">
        <f t="shared" si="65"/>
        <v>DOWN</v>
      </c>
      <c r="Y524">
        <v>1.17780005931854</v>
      </c>
      <c r="Z524" t="str">
        <f t="shared" si="66"/>
        <v>DOWN</v>
      </c>
      <c r="AA524">
        <v>0</v>
      </c>
      <c r="AB524">
        <v>1</v>
      </c>
      <c r="AC524">
        <v>0</v>
      </c>
      <c r="AD524">
        <v>0</v>
      </c>
    </row>
    <row r="525" spans="1:30" hidden="1" x14ac:dyDescent="0.35">
      <c r="A525" s="2">
        <v>45910</v>
      </c>
      <c r="B525" t="s">
        <v>29</v>
      </c>
      <c r="C525">
        <v>1.1763000488281199</v>
      </c>
      <c r="D525">
        <v>1.1768000125885001</v>
      </c>
      <c r="E525">
        <v>1.1762000322341899</v>
      </c>
      <c r="F525">
        <v>1.1767499446868801</v>
      </c>
      <c r="G525">
        <v>332</v>
      </c>
      <c r="H525">
        <v>1.1771600246429399</v>
      </c>
      <c r="I525">
        <v>-2.09999084472611E-4</v>
      </c>
      <c r="J525" t="str">
        <f t="shared" si="67"/>
        <v>DOWN</v>
      </c>
      <c r="K525">
        <v>1.1803670048713599</v>
      </c>
      <c r="L525" s="1">
        <v>-4.4000148773148903E-5</v>
      </c>
      <c r="M525" t="str">
        <f t="shared" si="68"/>
        <v>DOWN</v>
      </c>
      <c r="N525">
        <v>-3.2069802284240201E-3</v>
      </c>
      <c r="O525" t="str">
        <f t="shared" si="69"/>
        <v>DOWN</v>
      </c>
      <c r="P525">
        <v>30.2613592405995</v>
      </c>
      <c r="Q525">
        <v>-2.18895835649186</v>
      </c>
      <c r="R525" t="str">
        <f t="shared" si="70"/>
        <v>DOWN</v>
      </c>
      <c r="S525">
        <v>1.1763499975204399</v>
      </c>
      <c r="T525" t="str">
        <f t="shared" si="64"/>
        <v>DOWN</v>
      </c>
      <c r="U525">
        <v>1.1774499416351301</v>
      </c>
      <c r="V525" t="str">
        <f t="shared" si="71"/>
        <v>DOWN</v>
      </c>
      <c r="W525">
        <v>1.17774999141693</v>
      </c>
      <c r="X525" t="str">
        <f t="shared" si="65"/>
        <v>DOWN</v>
      </c>
      <c r="Y525">
        <v>1.17799997329711</v>
      </c>
      <c r="Z525" t="str">
        <f t="shared" si="66"/>
        <v>DOWN</v>
      </c>
      <c r="AA525">
        <v>0</v>
      </c>
      <c r="AB525">
        <v>0</v>
      </c>
      <c r="AC525">
        <v>0</v>
      </c>
      <c r="AD525">
        <v>0</v>
      </c>
    </row>
    <row r="526" spans="1:30" hidden="1" x14ac:dyDescent="0.35">
      <c r="A526" s="2">
        <v>45910</v>
      </c>
      <c r="B526" t="s">
        <v>30</v>
      </c>
      <c r="C526">
        <v>1.1765500307083101</v>
      </c>
      <c r="D526">
        <v>1.1768000125885001</v>
      </c>
      <c r="E526">
        <v>1.1755000352859399</v>
      </c>
      <c r="F526">
        <v>1.1762499809265099</v>
      </c>
      <c r="G526">
        <v>2389</v>
      </c>
      <c r="H526">
        <v>1.1770100355148301</v>
      </c>
      <c r="I526">
        <v>-1.4998912811270399E-4</v>
      </c>
      <c r="J526" t="str">
        <f t="shared" si="67"/>
        <v>DOWN</v>
      </c>
      <c r="K526">
        <v>1.1803290057182301</v>
      </c>
      <c r="L526" s="1">
        <v>-3.7999153137180298E-5</v>
      </c>
      <c r="M526" t="str">
        <f t="shared" si="68"/>
        <v>DOWN</v>
      </c>
      <c r="N526">
        <v>-3.3189702033995499E-3</v>
      </c>
      <c r="O526" t="str">
        <f t="shared" si="69"/>
        <v>DOWN</v>
      </c>
      <c r="P526">
        <v>32.3101530965805</v>
      </c>
      <c r="Q526">
        <v>2.0487938559810601</v>
      </c>
      <c r="R526" t="str">
        <f t="shared" si="70"/>
        <v>UP</v>
      </c>
      <c r="S526">
        <v>1.1762000322341899</v>
      </c>
      <c r="T526" t="str">
        <f t="shared" si="64"/>
        <v>DOWN</v>
      </c>
      <c r="U526">
        <v>1.1763499975204399</v>
      </c>
      <c r="V526" t="str">
        <f t="shared" si="71"/>
        <v>DOWN</v>
      </c>
      <c r="W526">
        <v>1.1768000125885001</v>
      </c>
      <c r="X526" t="str">
        <f t="shared" si="65"/>
        <v>DOWN</v>
      </c>
      <c r="Y526">
        <v>1.17774999141693</v>
      </c>
      <c r="Z526" t="str">
        <f t="shared" si="66"/>
        <v>DOWN</v>
      </c>
      <c r="AA526">
        <v>0</v>
      </c>
      <c r="AB526">
        <v>0</v>
      </c>
      <c r="AC526">
        <v>0</v>
      </c>
      <c r="AD526">
        <v>0</v>
      </c>
    </row>
    <row r="527" spans="1:30" hidden="1" x14ac:dyDescent="0.35">
      <c r="A527" s="2">
        <v>45910</v>
      </c>
      <c r="B527" t="s">
        <v>31</v>
      </c>
      <c r="C527">
        <v>1.1772999763488701</v>
      </c>
      <c r="D527">
        <v>1.1773999929428101</v>
      </c>
      <c r="E527">
        <v>1.1764999628067001</v>
      </c>
      <c r="F527">
        <v>1.1764999628067001</v>
      </c>
      <c r="G527">
        <v>3458</v>
      </c>
      <c r="H527">
        <v>1.17697002887725</v>
      </c>
      <c r="I527" s="1">
        <v>-4.0006637573419803E-5</v>
      </c>
      <c r="J527" t="str">
        <f t="shared" si="67"/>
        <v>DOWN</v>
      </c>
      <c r="K527">
        <v>1.1803270053863499</v>
      </c>
      <c r="L527" s="1">
        <v>-2.0003318785821699E-6</v>
      </c>
      <c r="M527" t="str">
        <f t="shared" si="68"/>
        <v>DOWN</v>
      </c>
      <c r="N527">
        <v>-3.3569765090943802E-3</v>
      </c>
      <c r="O527" t="str">
        <f t="shared" si="69"/>
        <v>DOWN</v>
      </c>
      <c r="P527">
        <v>38.177938290673502</v>
      </c>
      <c r="Q527">
        <v>5.8677851940929298</v>
      </c>
      <c r="R527" t="str">
        <f t="shared" si="70"/>
        <v>UP</v>
      </c>
      <c r="S527">
        <v>1.1755000352859399</v>
      </c>
      <c r="T527" t="str">
        <f t="shared" si="64"/>
        <v>UP</v>
      </c>
      <c r="U527">
        <v>1.1762000322341899</v>
      </c>
      <c r="V527" t="str">
        <f t="shared" si="71"/>
        <v>UP</v>
      </c>
      <c r="W527">
        <v>1.1768000125885001</v>
      </c>
      <c r="X527" t="str">
        <f t="shared" si="65"/>
        <v>UP</v>
      </c>
      <c r="Y527">
        <v>1.1768000125885001</v>
      </c>
      <c r="Z527" t="str">
        <f t="shared" si="66"/>
        <v>UP</v>
      </c>
      <c r="AA527">
        <v>0</v>
      </c>
      <c r="AB527">
        <v>0</v>
      </c>
      <c r="AC527">
        <v>0</v>
      </c>
      <c r="AD527">
        <v>0</v>
      </c>
    </row>
    <row r="528" spans="1:30" hidden="1" x14ac:dyDescent="0.35">
      <c r="A528" s="2">
        <v>45910</v>
      </c>
      <c r="B528" t="s">
        <v>32</v>
      </c>
      <c r="C528">
        <v>1.1773999929428101</v>
      </c>
      <c r="D528">
        <v>1.1776000261306701</v>
      </c>
      <c r="E528">
        <v>1.1772500276565501</v>
      </c>
      <c r="F528">
        <v>1.1772500276565501</v>
      </c>
      <c r="G528">
        <v>392</v>
      </c>
      <c r="H528">
        <v>1.17689001560211</v>
      </c>
      <c r="I528" s="1">
        <v>-8.0013275146395503E-5</v>
      </c>
      <c r="J528" t="str">
        <f t="shared" si="67"/>
        <v>DOWN</v>
      </c>
      <c r="K528">
        <v>1.1803140044212299</v>
      </c>
      <c r="L528" s="1">
        <v>-1.3000965118470299E-5</v>
      </c>
      <c r="M528" t="str">
        <f t="shared" si="68"/>
        <v>DOWN</v>
      </c>
      <c r="N528">
        <v>-3.4239888191223101E-3</v>
      </c>
      <c r="O528" t="str">
        <f t="shared" si="69"/>
        <v>DOWN</v>
      </c>
      <c r="P528">
        <v>38.938172541296801</v>
      </c>
      <c r="Q528">
        <v>0.76023425062329097</v>
      </c>
      <c r="R528" t="str">
        <f t="shared" si="70"/>
        <v>UP</v>
      </c>
      <c r="S528">
        <v>1.1764999628067001</v>
      </c>
      <c r="T528" t="str">
        <f t="shared" si="64"/>
        <v>UP</v>
      </c>
      <c r="U528">
        <v>1.1755000352859399</v>
      </c>
      <c r="V528" t="str">
        <f t="shared" si="71"/>
        <v>UP</v>
      </c>
      <c r="W528">
        <v>1.1773999929428101</v>
      </c>
      <c r="X528" t="str">
        <f t="shared" si="65"/>
        <v>UP</v>
      </c>
      <c r="Y528">
        <v>1.1768000125885001</v>
      </c>
      <c r="Z528" t="str">
        <f t="shared" si="66"/>
        <v>UP</v>
      </c>
      <c r="AA528">
        <v>0</v>
      </c>
      <c r="AB528">
        <v>0</v>
      </c>
      <c r="AC528">
        <v>0</v>
      </c>
      <c r="AD528">
        <v>0</v>
      </c>
    </row>
    <row r="529" spans="1:30" hidden="1" x14ac:dyDescent="0.35">
      <c r="A529" s="2">
        <v>45910</v>
      </c>
      <c r="B529" t="s">
        <v>33</v>
      </c>
      <c r="C529">
        <v>1.17809998989105</v>
      </c>
      <c r="D529">
        <v>1.17809998989105</v>
      </c>
      <c r="E529">
        <v>1.1772999763488701</v>
      </c>
      <c r="F529">
        <v>1.1772999763488701</v>
      </c>
      <c r="G529">
        <v>737</v>
      </c>
      <c r="H529">
        <v>1.17713000774383</v>
      </c>
      <c r="I529">
        <v>2.3999214172354399E-4</v>
      </c>
      <c r="J529" t="str">
        <f t="shared" si="67"/>
        <v>UP</v>
      </c>
      <c r="K529">
        <v>1.1803140044212299</v>
      </c>
      <c r="L529">
        <v>0</v>
      </c>
      <c r="M529" t="str">
        <f t="shared" si="68"/>
        <v>DOWN</v>
      </c>
      <c r="N529">
        <v>-3.18399667739877E-3</v>
      </c>
      <c r="O529" t="str">
        <f t="shared" si="69"/>
        <v>DOWN</v>
      </c>
      <c r="P529">
        <v>44.117665615768203</v>
      </c>
      <c r="Q529">
        <v>5.1794930744714502</v>
      </c>
      <c r="R529" t="str">
        <f t="shared" si="70"/>
        <v>UP</v>
      </c>
      <c r="S529">
        <v>1.1772500276565501</v>
      </c>
      <c r="T529" t="str">
        <f t="shared" si="64"/>
        <v>UP</v>
      </c>
      <c r="U529">
        <v>1.1764999628067001</v>
      </c>
      <c r="V529" t="str">
        <f t="shared" si="71"/>
        <v>UP</v>
      </c>
      <c r="W529">
        <v>1.1776000261306701</v>
      </c>
      <c r="X529" t="str">
        <f t="shared" si="65"/>
        <v>UP</v>
      </c>
      <c r="Y529">
        <v>1.1773999929428101</v>
      </c>
      <c r="Z529" t="str">
        <f t="shared" si="66"/>
        <v>UP</v>
      </c>
      <c r="AA529">
        <v>0</v>
      </c>
      <c r="AB529">
        <v>0</v>
      </c>
      <c r="AC529">
        <v>0</v>
      </c>
      <c r="AD529">
        <v>0</v>
      </c>
    </row>
    <row r="530" spans="1:30" hidden="1" x14ac:dyDescent="0.35">
      <c r="A530" s="2">
        <v>45910</v>
      </c>
      <c r="B530" t="s">
        <v>41</v>
      </c>
      <c r="C530">
        <v>1.1775000095367401</v>
      </c>
      <c r="D530">
        <v>1.17815005779266</v>
      </c>
      <c r="E530">
        <v>1.1770999431610101</v>
      </c>
      <c r="F530">
        <v>1.17805004119873</v>
      </c>
      <c r="G530">
        <v>1582</v>
      </c>
      <c r="H530">
        <v>1.17736999988555</v>
      </c>
      <c r="I530">
        <v>2.3999214172376601E-4</v>
      </c>
      <c r="J530" t="str">
        <f t="shared" si="67"/>
        <v>UP</v>
      </c>
      <c r="K530">
        <v>1.1803050041198699</v>
      </c>
      <c r="L530" s="1">
        <v>-9.0003013610839793E-6</v>
      </c>
      <c r="M530" t="str">
        <f t="shared" si="68"/>
        <v>DOWN</v>
      </c>
      <c r="N530">
        <v>-2.93500423431392E-3</v>
      </c>
      <c r="O530" t="str">
        <f t="shared" si="69"/>
        <v>DOWN</v>
      </c>
      <c r="P530">
        <v>40.914220366235099</v>
      </c>
      <c r="Q530">
        <v>-3.2034452495331398</v>
      </c>
      <c r="R530" t="str">
        <f t="shared" si="70"/>
        <v>DOWN</v>
      </c>
      <c r="S530">
        <v>1.1772999763488701</v>
      </c>
      <c r="T530" t="str">
        <f t="shared" si="64"/>
        <v>DOWN</v>
      </c>
      <c r="U530">
        <v>1.1772500276565501</v>
      </c>
      <c r="V530" t="str">
        <f t="shared" si="71"/>
        <v>DOWN</v>
      </c>
      <c r="W530">
        <v>1.17809998989105</v>
      </c>
      <c r="X530" t="str">
        <f t="shared" si="65"/>
        <v>UP</v>
      </c>
      <c r="Y530">
        <v>1.1776000261306701</v>
      </c>
      <c r="Z530" t="str">
        <f t="shared" si="66"/>
        <v>UP</v>
      </c>
      <c r="AA530">
        <v>0</v>
      </c>
      <c r="AB530">
        <v>0</v>
      </c>
      <c r="AC530">
        <v>0</v>
      </c>
      <c r="AD530">
        <v>0</v>
      </c>
    </row>
    <row r="531" spans="1:30" hidden="1" x14ac:dyDescent="0.35">
      <c r="A531" s="2">
        <v>45910</v>
      </c>
      <c r="B531" t="s">
        <v>34</v>
      </c>
      <c r="C531">
        <v>1.1763999462127599</v>
      </c>
      <c r="D531">
        <v>1.17840003967285</v>
      </c>
      <c r="E531">
        <v>1.1757999658584499</v>
      </c>
      <c r="F531">
        <v>1.1775000095367401</v>
      </c>
      <c r="G531">
        <v>3903</v>
      </c>
      <c r="H531">
        <v>1.1773399829864499</v>
      </c>
      <c r="I531" s="1">
        <v>-3.0016899108975499E-5</v>
      </c>
      <c r="J531" t="str">
        <f t="shared" si="67"/>
        <v>DOWN</v>
      </c>
      <c r="K531">
        <v>1.18026800394058</v>
      </c>
      <c r="L531" s="1">
        <v>-3.7000179290869103E-5</v>
      </c>
      <c r="M531" t="str">
        <f t="shared" si="68"/>
        <v>DOWN</v>
      </c>
      <c r="N531">
        <v>-2.9280209541320198E-3</v>
      </c>
      <c r="O531" t="str">
        <f t="shared" si="69"/>
        <v>DOWN</v>
      </c>
      <c r="P531">
        <v>35.783762527448999</v>
      </c>
      <c r="Q531">
        <v>-5.13045783878602</v>
      </c>
      <c r="R531" t="str">
        <f t="shared" si="70"/>
        <v>DOWN</v>
      </c>
      <c r="S531">
        <v>1.1770999431610101</v>
      </c>
      <c r="T531" t="str">
        <f t="shared" si="64"/>
        <v>DOWN</v>
      </c>
      <c r="U531">
        <v>1.1772999763488701</v>
      </c>
      <c r="V531" t="str">
        <f t="shared" si="71"/>
        <v>DOWN</v>
      </c>
      <c r="W531">
        <v>1.17815005779266</v>
      </c>
      <c r="X531" t="str">
        <f t="shared" si="65"/>
        <v>UP</v>
      </c>
      <c r="Y531">
        <v>1.17809998989105</v>
      </c>
      <c r="Z531" t="str">
        <f t="shared" si="66"/>
        <v>UP</v>
      </c>
      <c r="AA531">
        <v>0</v>
      </c>
      <c r="AB531">
        <v>0</v>
      </c>
      <c r="AC531">
        <v>0</v>
      </c>
      <c r="AD531">
        <v>0</v>
      </c>
    </row>
    <row r="532" spans="1:30" hidden="1" x14ac:dyDescent="0.35">
      <c r="A532" s="2">
        <v>45910</v>
      </c>
      <c r="B532" t="s">
        <v>35</v>
      </c>
      <c r="C532">
        <v>1.1769000291824301</v>
      </c>
      <c r="D532">
        <v>1.1773999929428101</v>
      </c>
      <c r="E532">
        <v>1.17490005493164</v>
      </c>
      <c r="F532">
        <v>1.1763999462127599</v>
      </c>
      <c r="G532">
        <v>44747</v>
      </c>
      <c r="H532">
        <v>1.17725999355316</v>
      </c>
      <c r="I532" s="1">
        <v>-7.9989433288574205E-5</v>
      </c>
      <c r="J532" t="str">
        <f t="shared" si="67"/>
        <v>DOWN</v>
      </c>
      <c r="K532">
        <v>1.1802520036697299</v>
      </c>
      <c r="L532" s="1">
        <v>-1.60002708433637E-5</v>
      </c>
      <c r="M532" t="str">
        <f t="shared" si="68"/>
        <v>DOWN</v>
      </c>
      <c r="N532">
        <v>-2.9920101165772299E-3</v>
      </c>
      <c r="O532" t="str">
        <f t="shared" si="69"/>
        <v>DOWN</v>
      </c>
      <c r="P532">
        <v>39.497927237735702</v>
      </c>
      <c r="Q532">
        <v>3.71416471028666</v>
      </c>
      <c r="R532" t="str">
        <f t="shared" si="70"/>
        <v>UP</v>
      </c>
      <c r="S532">
        <v>1.1757999658584499</v>
      </c>
      <c r="T532" t="str">
        <f t="shared" si="64"/>
        <v>DOWN</v>
      </c>
      <c r="U532">
        <v>1.1770999431610101</v>
      </c>
      <c r="V532" t="str">
        <f t="shared" si="71"/>
        <v>DOWN</v>
      </c>
      <c r="W532">
        <v>1.17840003967285</v>
      </c>
      <c r="X532" t="str">
        <f t="shared" si="65"/>
        <v>DOWN</v>
      </c>
      <c r="Y532">
        <v>1.17815005779266</v>
      </c>
      <c r="Z532" t="str">
        <f t="shared" si="66"/>
        <v>DOWN</v>
      </c>
      <c r="AA532">
        <v>0</v>
      </c>
      <c r="AB532">
        <v>1</v>
      </c>
      <c r="AC532">
        <v>0</v>
      </c>
      <c r="AD532">
        <v>0</v>
      </c>
    </row>
    <row r="533" spans="1:30" hidden="1" x14ac:dyDescent="0.35">
      <c r="A533" s="2">
        <v>45910</v>
      </c>
      <c r="B533" t="s">
        <v>36</v>
      </c>
      <c r="C533">
        <v>1.1765999794006301</v>
      </c>
      <c r="D533">
        <v>1.1769499778747501</v>
      </c>
      <c r="E533">
        <v>1.1757500171661299</v>
      </c>
      <c r="F533">
        <v>1.1769000291824301</v>
      </c>
      <c r="G533">
        <v>49835</v>
      </c>
      <c r="H533">
        <v>1.1770999908447199</v>
      </c>
      <c r="I533">
        <v>-1.6000270843496899E-4</v>
      </c>
      <c r="J533" t="str">
        <f t="shared" si="67"/>
        <v>DOWN</v>
      </c>
      <c r="K533">
        <v>1.1802230024337701</v>
      </c>
      <c r="L533" s="1">
        <v>-2.90012359620561E-5</v>
      </c>
      <c r="M533" t="str">
        <f t="shared" si="68"/>
        <v>DOWN</v>
      </c>
      <c r="N533">
        <v>-3.12301158905015E-3</v>
      </c>
      <c r="O533" t="str">
        <f t="shared" si="69"/>
        <v>DOWN</v>
      </c>
      <c r="P533">
        <v>38.074970133105701</v>
      </c>
      <c r="Q533">
        <v>-1.42295710462997</v>
      </c>
      <c r="R533" t="str">
        <f t="shared" si="70"/>
        <v>DOWN</v>
      </c>
      <c r="S533">
        <v>1.17490005493164</v>
      </c>
      <c r="T533" t="str">
        <f t="shared" si="64"/>
        <v>UP</v>
      </c>
      <c r="U533">
        <v>1.1757999658584499</v>
      </c>
      <c r="V533" t="str">
        <f t="shared" si="71"/>
        <v>DOWN</v>
      </c>
      <c r="W533">
        <v>1.1773999929428101</v>
      </c>
      <c r="X533" t="str">
        <f t="shared" si="65"/>
        <v>DOWN</v>
      </c>
      <c r="Y533">
        <v>1.17840003967285</v>
      </c>
      <c r="Z533" t="str">
        <f t="shared" si="66"/>
        <v>DOWN</v>
      </c>
      <c r="AA533">
        <v>0</v>
      </c>
      <c r="AB533">
        <v>0</v>
      </c>
      <c r="AC533">
        <v>0</v>
      </c>
      <c r="AD533">
        <v>0</v>
      </c>
    </row>
    <row r="534" spans="1:30" hidden="1" x14ac:dyDescent="0.35">
      <c r="A534" s="2">
        <v>45910</v>
      </c>
      <c r="B534" t="s">
        <v>37</v>
      </c>
      <c r="C534">
        <v>1.17785000801086</v>
      </c>
      <c r="D534">
        <v>1.17830002307891</v>
      </c>
      <c r="E534">
        <v>1.1764500141143699</v>
      </c>
      <c r="F534">
        <v>1.1764999628067001</v>
      </c>
      <c r="G534">
        <v>58852</v>
      </c>
      <c r="H534">
        <v>1.1770499944686801</v>
      </c>
      <c r="I534" s="1">
        <v>-4.9996376037641997E-5</v>
      </c>
      <c r="J534" t="str">
        <f t="shared" si="67"/>
        <v>DOWN</v>
      </c>
      <c r="K534">
        <v>1.18021500349044</v>
      </c>
      <c r="L534" s="1">
        <v>-7.9989433288130096E-6</v>
      </c>
      <c r="M534" t="str">
        <f t="shared" si="68"/>
        <v>DOWN</v>
      </c>
      <c r="N534">
        <v>-3.1650090217589799E-3</v>
      </c>
      <c r="O534" t="str">
        <f t="shared" si="69"/>
        <v>DOWN</v>
      </c>
      <c r="P534">
        <v>46.691378545872197</v>
      </c>
      <c r="Q534">
        <v>8.6164084127664395</v>
      </c>
      <c r="R534" t="str">
        <f t="shared" si="70"/>
        <v>UP</v>
      </c>
      <c r="S534">
        <v>1.1757500171661299</v>
      </c>
      <c r="T534" t="str">
        <f t="shared" si="64"/>
        <v>UP</v>
      </c>
      <c r="U534">
        <v>1.17490005493164</v>
      </c>
      <c r="V534" t="str">
        <f t="shared" si="71"/>
        <v>UP</v>
      </c>
      <c r="W534">
        <v>1.1769499778747501</v>
      </c>
      <c r="X534" t="str">
        <f t="shared" si="65"/>
        <v>UP</v>
      </c>
      <c r="Y534">
        <v>1.1773999929428101</v>
      </c>
      <c r="Z534" t="str">
        <f t="shared" si="66"/>
        <v>UP</v>
      </c>
      <c r="AA534">
        <v>0</v>
      </c>
      <c r="AB534">
        <v>0</v>
      </c>
      <c r="AC534">
        <v>0</v>
      </c>
      <c r="AD534">
        <v>0</v>
      </c>
    </row>
    <row r="535" spans="1:30" hidden="1" x14ac:dyDescent="0.35">
      <c r="A535" s="2">
        <v>45910</v>
      </c>
      <c r="B535" t="s">
        <v>20</v>
      </c>
      <c r="C535">
        <v>1.1766500473022401</v>
      </c>
      <c r="D535">
        <v>1.17805004119873</v>
      </c>
      <c r="E535">
        <v>1.1763000488281199</v>
      </c>
      <c r="F535">
        <v>1.17795002460479</v>
      </c>
      <c r="G535">
        <v>9433</v>
      </c>
      <c r="H535">
        <v>1.17688000202178</v>
      </c>
      <c r="I535">
        <v>-1.6999244689941401E-4</v>
      </c>
      <c r="J535" t="str">
        <f t="shared" si="67"/>
        <v>DOWN</v>
      </c>
      <c r="K535">
        <v>1.1801590037345799</v>
      </c>
      <c r="L535" s="1">
        <v>-5.59997558593483E-5</v>
      </c>
      <c r="M535" t="str">
        <f t="shared" si="68"/>
        <v>DOWN</v>
      </c>
      <c r="N535">
        <v>-3.27900171279904E-3</v>
      </c>
      <c r="O535" t="str">
        <f t="shared" si="69"/>
        <v>DOWN</v>
      </c>
      <c r="P535">
        <v>40.819707747018199</v>
      </c>
      <c r="Q535">
        <v>-5.8716707988539403</v>
      </c>
      <c r="R535" t="str">
        <f t="shared" si="70"/>
        <v>DOWN</v>
      </c>
      <c r="S535">
        <v>1.1764500141143699</v>
      </c>
      <c r="T535" t="str">
        <f t="shared" si="64"/>
        <v>DOWN</v>
      </c>
      <c r="U535">
        <v>1.1757500171661299</v>
      </c>
      <c r="V535" t="str">
        <f t="shared" si="71"/>
        <v>UP</v>
      </c>
      <c r="W535">
        <v>1.17830002307891</v>
      </c>
      <c r="X535" t="str">
        <f t="shared" si="65"/>
        <v>DOWN</v>
      </c>
      <c r="Y535">
        <v>1.1769499778747501</v>
      </c>
      <c r="Z535" t="str">
        <f t="shared" si="66"/>
        <v>UP</v>
      </c>
      <c r="AA535">
        <v>0</v>
      </c>
      <c r="AB535">
        <v>0</v>
      </c>
      <c r="AC535">
        <v>0</v>
      </c>
      <c r="AD535">
        <v>0</v>
      </c>
    </row>
    <row r="536" spans="1:30" hidden="1" x14ac:dyDescent="0.35">
      <c r="A536" s="2">
        <v>45910</v>
      </c>
      <c r="B536" t="s">
        <v>21</v>
      </c>
      <c r="C536">
        <v>1.1770499944686801</v>
      </c>
      <c r="D536">
        <v>1.1772999763488701</v>
      </c>
      <c r="E536">
        <v>1.1761499643325799</v>
      </c>
      <c r="F536">
        <v>1.1765999794006301</v>
      </c>
      <c r="G536">
        <v>42705</v>
      </c>
      <c r="H536">
        <v>1.17701001167297</v>
      </c>
      <c r="I536">
        <v>1.30009651184037E-4</v>
      </c>
      <c r="J536" t="str">
        <f t="shared" si="67"/>
        <v>UP</v>
      </c>
      <c r="K536">
        <v>1.1801000046729999</v>
      </c>
      <c r="L536" s="1">
        <v>-5.89990615844637E-5</v>
      </c>
      <c r="M536" t="str">
        <f t="shared" si="68"/>
        <v>DOWN</v>
      </c>
      <c r="N536">
        <v>-3.0899930000305399E-3</v>
      </c>
      <c r="O536" t="str">
        <f t="shared" si="69"/>
        <v>DOWN</v>
      </c>
      <c r="P536">
        <v>43.375635787029097</v>
      </c>
      <c r="Q536">
        <v>2.5559280400108899</v>
      </c>
      <c r="R536" t="str">
        <f t="shared" si="70"/>
        <v>UP</v>
      </c>
      <c r="S536">
        <v>1.1763000488281199</v>
      </c>
      <c r="T536" t="str">
        <f t="shared" si="64"/>
        <v>DOWN</v>
      </c>
      <c r="U536">
        <v>1.1764500141143699</v>
      </c>
      <c r="V536" t="str">
        <f t="shared" si="71"/>
        <v>DOWN</v>
      </c>
      <c r="W536">
        <v>1.17805004119873</v>
      </c>
      <c r="X536" t="str">
        <f t="shared" si="65"/>
        <v>DOWN</v>
      </c>
      <c r="Y536">
        <v>1.17830002307891</v>
      </c>
      <c r="Z536" t="str">
        <f t="shared" si="66"/>
        <v>DOWN</v>
      </c>
      <c r="AA536">
        <v>0</v>
      </c>
      <c r="AB536">
        <v>0</v>
      </c>
      <c r="AC536">
        <v>0</v>
      </c>
      <c r="AD536">
        <v>0</v>
      </c>
    </row>
    <row r="537" spans="1:30" hidden="1" x14ac:dyDescent="0.35">
      <c r="A537" s="2">
        <v>45910</v>
      </c>
      <c r="B537" t="s">
        <v>22</v>
      </c>
      <c r="C537">
        <v>1.1766500473022401</v>
      </c>
      <c r="D537">
        <v>1.17935001850128</v>
      </c>
      <c r="E537">
        <v>1.1757500171661299</v>
      </c>
      <c r="F537">
        <v>1.1771500110626201</v>
      </c>
      <c r="G537">
        <v>30146</v>
      </c>
      <c r="H537">
        <v>1.17696001529693</v>
      </c>
      <c r="I537" s="1">
        <v>-4.9996376037641997E-5</v>
      </c>
      <c r="J537" t="str">
        <f t="shared" si="67"/>
        <v>DOWN</v>
      </c>
      <c r="K537">
        <v>1.18003600597381</v>
      </c>
      <c r="L537" s="1">
        <v>-6.39986991881613E-5</v>
      </c>
      <c r="M537" t="str">
        <f t="shared" si="68"/>
        <v>DOWN</v>
      </c>
      <c r="N537">
        <v>-3.0759906768800202E-3</v>
      </c>
      <c r="O537" t="str">
        <f t="shared" si="69"/>
        <v>DOWN</v>
      </c>
      <c r="P537">
        <v>41.447852401390101</v>
      </c>
      <c r="Q537">
        <v>-1.9277833856389699</v>
      </c>
      <c r="R537" t="str">
        <f t="shared" si="70"/>
        <v>DOWN</v>
      </c>
      <c r="S537">
        <v>1.1761499643325799</v>
      </c>
      <c r="T537" t="str">
        <f t="shared" si="64"/>
        <v>DOWN</v>
      </c>
      <c r="U537">
        <v>1.1763000488281199</v>
      </c>
      <c r="V537" t="str">
        <f t="shared" si="71"/>
        <v>DOWN</v>
      </c>
      <c r="W537">
        <v>1.1772999763488701</v>
      </c>
      <c r="X537" t="str">
        <f t="shared" si="65"/>
        <v>UP</v>
      </c>
      <c r="Y537">
        <v>1.17805004119873</v>
      </c>
      <c r="Z537" t="str">
        <f t="shared" si="66"/>
        <v>UP</v>
      </c>
      <c r="AA537">
        <v>0</v>
      </c>
      <c r="AB537">
        <v>0</v>
      </c>
      <c r="AC537">
        <v>0</v>
      </c>
      <c r="AD537">
        <v>0</v>
      </c>
    </row>
    <row r="538" spans="1:30" hidden="1" x14ac:dyDescent="0.35">
      <c r="A538" s="2">
        <v>45910</v>
      </c>
      <c r="B538" t="s">
        <v>23</v>
      </c>
      <c r="C538">
        <v>1.1785500049591</v>
      </c>
      <c r="D538">
        <v>1.17904996871948</v>
      </c>
      <c r="E538">
        <v>1.1761499643325799</v>
      </c>
      <c r="F538">
        <v>1.1764999628067001</v>
      </c>
      <c r="G538">
        <v>47538</v>
      </c>
      <c r="H538">
        <v>1.17735002040863</v>
      </c>
      <c r="I538">
        <v>3.9000511169451298E-4</v>
      </c>
      <c r="J538" t="str">
        <f t="shared" si="67"/>
        <v>UP</v>
      </c>
      <c r="K538">
        <v>1.18002300500869</v>
      </c>
      <c r="L538" s="1">
        <v>-1.3000965118470299E-5</v>
      </c>
      <c r="M538" t="str">
        <f t="shared" si="68"/>
        <v>DOWN</v>
      </c>
      <c r="N538">
        <v>-2.6729846000670401E-3</v>
      </c>
      <c r="O538" t="str">
        <f t="shared" si="69"/>
        <v>DOWN</v>
      </c>
      <c r="P538">
        <v>52.294729584575897</v>
      </c>
      <c r="Q538">
        <v>10.8468771831857</v>
      </c>
      <c r="R538" t="str">
        <f t="shared" si="70"/>
        <v>UP</v>
      </c>
      <c r="S538">
        <v>1.1757500171661299</v>
      </c>
      <c r="T538" t="str">
        <f t="shared" si="64"/>
        <v>UP</v>
      </c>
      <c r="U538">
        <v>1.1761499643325799</v>
      </c>
      <c r="V538" t="str">
        <f t="shared" si="71"/>
        <v>UP</v>
      </c>
      <c r="W538">
        <v>1.17935001850128</v>
      </c>
      <c r="X538" t="str">
        <f t="shared" si="65"/>
        <v>DOWN</v>
      </c>
      <c r="Y538">
        <v>1.1772999763488701</v>
      </c>
      <c r="Z538" t="str">
        <f t="shared" si="66"/>
        <v>UP</v>
      </c>
      <c r="AA538">
        <v>0</v>
      </c>
      <c r="AB538">
        <v>0</v>
      </c>
      <c r="AC538">
        <v>0</v>
      </c>
      <c r="AD538">
        <v>0</v>
      </c>
    </row>
    <row r="539" spans="1:30" hidden="1" x14ac:dyDescent="0.35">
      <c r="A539" s="2">
        <v>45910</v>
      </c>
      <c r="B539" t="s">
        <v>24</v>
      </c>
      <c r="C539">
        <v>1.17929995059967</v>
      </c>
      <c r="D539">
        <v>1.1796499490737899</v>
      </c>
      <c r="E539">
        <v>1.17815005779266</v>
      </c>
      <c r="F539">
        <v>1.17859995365142</v>
      </c>
      <c r="G539">
        <v>39886</v>
      </c>
      <c r="H539">
        <v>1.1776400089263901</v>
      </c>
      <c r="I539">
        <v>2.8998851776118601E-4</v>
      </c>
      <c r="J539" t="str">
        <f t="shared" si="67"/>
        <v>UP</v>
      </c>
      <c r="K539">
        <v>1.1800220036506599</v>
      </c>
      <c r="L539" s="1">
        <v>-1.0013580322709699E-6</v>
      </c>
      <c r="M539" t="str">
        <f t="shared" si="68"/>
        <v>DOWN</v>
      </c>
      <c r="N539">
        <v>-2.38199472427358E-3</v>
      </c>
      <c r="O539" t="str">
        <f t="shared" si="69"/>
        <v>DOWN</v>
      </c>
      <c r="P539">
        <v>55.777134892433203</v>
      </c>
      <c r="Q539">
        <v>3.4824053078572499</v>
      </c>
      <c r="R539" t="str">
        <f t="shared" si="70"/>
        <v>UP</v>
      </c>
      <c r="S539">
        <v>1.1761499643325799</v>
      </c>
      <c r="T539" t="str">
        <f t="shared" si="64"/>
        <v>UP</v>
      </c>
      <c r="U539">
        <v>1.1757500171661299</v>
      </c>
      <c r="V539" t="str">
        <f t="shared" si="71"/>
        <v>UP</v>
      </c>
      <c r="W539">
        <v>1.17904996871948</v>
      </c>
      <c r="X539" t="str">
        <f t="shared" si="65"/>
        <v>UP</v>
      </c>
      <c r="Y539">
        <v>1.17935001850128</v>
      </c>
      <c r="Z539" t="str">
        <f t="shared" si="66"/>
        <v>UP</v>
      </c>
      <c r="AA539">
        <v>1</v>
      </c>
      <c r="AB539">
        <v>0</v>
      </c>
      <c r="AC539">
        <v>0</v>
      </c>
      <c r="AD539">
        <v>0</v>
      </c>
    </row>
    <row r="540" spans="1:30" hidden="1" x14ac:dyDescent="0.35">
      <c r="A540" s="2">
        <v>45910</v>
      </c>
      <c r="B540" t="s">
        <v>25</v>
      </c>
      <c r="C540">
        <v>1.17809998989105</v>
      </c>
      <c r="D540">
        <v>1.17960000038146</v>
      </c>
      <c r="E540">
        <v>1.17795002460479</v>
      </c>
      <c r="F540">
        <v>1.17935001850128</v>
      </c>
      <c r="G540">
        <v>29294</v>
      </c>
      <c r="H540">
        <v>1.1779299974441499</v>
      </c>
      <c r="I540">
        <v>2.8998851776118601E-4</v>
      </c>
      <c r="J540" t="str">
        <f t="shared" si="67"/>
        <v>UP</v>
      </c>
      <c r="K540">
        <v>1.1799910044670101</v>
      </c>
      <c r="L540" s="1">
        <v>-3.09991836546785E-5</v>
      </c>
      <c r="M540" t="str">
        <f t="shared" si="68"/>
        <v>DOWN</v>
      </c>
      <c r="N540">
        <v>-2.0610070228577102E-3</v>
      </c>
      <c r="O540" t="str">
        <f t="shared" si="69"/>
        <v>DOWN</v>
      </c>
      <c r="P540">
        <v>49.545027198781803</v>
      </c>
      <c r="Q540">
        <v>-6.2321076936513702</v>
      </c>
      <c r="R540" t="str">
        <f t="shared" si="70"/>
        <v>DOWN</v>
      </c>
      <c r="S540">
        <v>1.17815005779266</v>
      </c>
      <c r="T540" t="str">
        <f t="shared" si="64"/>
        <v>DOWN</v>
      </c>
      <c r="U540">
        <v>1.1761499643325799</v>
      </c>
      <c r="V540" t="str">
        <f t="shared" si="71"/>
        <v>UP</v>
      </c>
      <c r="W540">
        <v>1.1796499490737899</v>
      </c>
      <c r="X540" t="str">
        <f t="shared" si="65"/>
        <v>DOWN</v>
      </c>
      <c r="Y540">
        <v>1.17904996871948</v>
      </c>
      <c r="Z540" t="str">
        <f t="shared" si="66"/>
        <v>UP</v>
      </c>
      <c r="AA540">
        <v>0</v>
      </c>
      <c r="AB540">
        <v>0</v>
      </c>
      <c r="AC540">
        <v>0</v>
      </c>
      <c r="AD540">
        <v>0</v>
      </c>
    </row>
    <row r="541" spans="1:30" hidden="1" x14ac:dyDescent="0.35">
      <c r="A541" s="2">
        <v>45910</v>
      </c>
      <c r="B541" t="s">
        <v>26</v>
      </c>
      <c r="C541">
        <v>1.1770999431610101</v>
      </c>
      <c r="D541">
        <v>1.1782499551773</v>
      </c>
      <c r="E541">
        <v>1.1769000291824301</v>
      </c>
      <c r="F541">
        <v>1.17799997329711</v>
      </c>
      <c r="G541">
        <v>20564</v>
      </c>
      <c r="H541">
        <v>1.1779399871826099</v>
      </c>
      <c r="I541" s="1">
        <v>9.9897384644442798E-6</v>
      </c>
      <c r="J541" t="str">
        <f t="shared" si="67"/>
        <v>UP</v>
      </c>
      <c r="K541">
        <v>1.1799220037460301</v>
      </c>
      <c r="L541" s="1">
        <v>-6.9000720977818703E-5</v>
      </c>
      <c r="M541" t="str">
        <f t="shared" si="68"/>
        <v>DOWN</v>
      </c>
      <c r="N541">
        <v>-1.9820165634154498E-3</v>
      </c>
      <c r="O541" t="str">
        <f t="shared" si="69"/>
        <v>DOWN</v>
      </c>
      <c r="P541">
        <v>45.029449336875999</v>
      </c>
      <c r="Q541">
        <v>-4.5155778619057703</v>
      </c>
      <c r="R541" t="str">
        <f t="shared" si="70"/>
        <v>DOWN</v>
      </c>
      <c r="S541">
        <v>1.17795002460479</v>
      </c>
      <c r="T541" t="str">
        <f t="shared" si="64"/>
        <v>DOWN</v>
      </c>
      <c r="U541">
        <v>1.17815005779266</v>
      </c>
      <c r="V541" t="str">
        <f t="shared" si="71"/>
        <v>DOWN</v>
      </c>
      <c r="W541">
        <v>1.17960000038146</v>
      </c>
      <c r="X541" t="str">
        <f t="shared" si="65"/>
        <v>DOWN</v>
      </c>
      <c r="Y541">
        <v>1.1796499490737899</v>
      </c>
      <c r="Z541" t="str">
        <f t="shared" si="66"/>
        <v>DOWN</v>
      </c>
      <c r="AA541">
        <v>0</v>
      </c>
      <c r="AB541">
        <v>0</v>
      </c>
      <c r="AC541">
        <v>0</v>
      </c>
      <c r="AD541">
        <v>0</v>
      </c>
    </row>
    <row r="542" spans="1:30" hidden="1" x14ac:dyDescent="0.35">
      <c r="A542" s="2">
        <v>45910</v>
      </c>
      <c r="B542" t="s">
        <v>27</v>
      </c>
      <c r="C542">
        <v>1.1771500110626201</v>
      </c>
      <c r="D542">
        <v>1.1776499748229901</v>
      </c>
      <c r="E542">
        <v>1.1767499446868801</v>
      </c>
      <c r="F542">
        <v>1.1771999597549401</v>
      </c>
      <c r="G542">
        <v>2898</v>
      </c>
      <c r="H542">
        <v>1.1780399799346899</v>
      </c>
      <c r="I542" s="1">
        <v>9.9992752075062004E-5</v>
      </c>
      <c r="J542" t="str">
        <f t="shared" si="67"/>
        <v>UP</v>
      </c>
      <c r="K542">
        <v>1.17982800483703</v>
      </c>
      <c r="L542" s="1">
        <v>-9.39989089965287E-5</v>
      </c>
      <c r="M542" t="str">
        <f t="shared" si="68"/>
        <v>DOWN</v>
      </c>
      <c r="N542">
        <v>-1.78802490234386E-3</v>
      </c>
      <c r="O542" t="str">
        <f t="shared" si="69"/>
        <v>DOWN</v>
      </c>
      <c r="P542">
        <v>45.2982548829725</v>
      </c>
      <c r="Q542">
        <v>0.268805546096473</v>
      </c>
      <c r="R542" t="str">
        <f t="shared" si="70"/>
        <v>UP</v>
      </c>
      <c r="S542">
        <v>1.1769000291824301</v>
      </c>
      <c r="T542" t="str">
        <f t="shared" si="64"/>
        <v>DOWN</v>
      </c>
      <c r="U542">
        <v>1.17795002460479</v>
      </c>
      <c r="V542" t="str">
        <f t="shared" si="71"/>
        <v>DOWN</v>
      </c>
      <c r="W542">
        <v>1.1782499551773</v>
      </c>
      <c r="X542" t="str">
        <f t="shared" si="65"/>
        <v>DOWN</v>
      </c>
      <c r="Y542">
        <v>1.17960000038146</v>
      </c>
      <c r="Z542" t="str">
        <f t="shared" si="66"/>
        <v>DOWN</v>
      </c>
      <c r="AA542">
        <v>0</v>
      </c>
      <c r="AB542">
        <v>0</v>
      </c>
      <c r="AC542">
        <v>0</v>
      </c>
      <c r="AD542">
        <v>0</v>
      </c>
    </row>
    <row r="543" spans="1:30" hidden="1" x14ac:dyDescent="0.35">
      <c r="A543" s="2">
        <v>45910</v>
      </c>
      <c r="B543" t="s">
        <v>38</v>
      </c>
      <c r="C543">
        <v>1.1770999431610101</v>
      </c>
      <c r="D543">
        <v>1.17774999141693</v>
      </c>
      <c r="E543">
        <v>1.1769000291824301</v>
      </c>
      <c r="F543">
        <v>1.1771500110626201</v>
      </c>
      <c r="G543">
        <v>2992</v>
      </c>
      <c r="H543">
        <v>1.17774996757507</v>
      </c>
      <c r="I543">
        <v>-2.9001235961900702E-4</v>
      </c>
      <c r="J543" t="str">
        <f t="shared" si="67"/>
        <v>DOWN</v>
      </c>
      <c r="K543">
        <v>1.1797450041770901</v>
      </c>
      <c r="L543" s="1">
        <v>-8.3000659942600294E-5</v>
      </c>
      <c r="M543" t="str">
        <f t="shared" si="68"/>
        <v>DOWN</v>
      </c>
      <c r="N543">
        <v>-1.99503660202027E-3</v>
      </c>
      <c r="O543" t="str">
        <f t="shared" si="69"/>
        <v>DOWN</v>
      </c>
      <c r="P543">
        <v>45.060957343439597</v>
      </c>
      <c r="Q543">
        <v>-0.237297539532903</v>
      </c>
      <c r="R543" t="str">
        <f t="shared" si="70"/>
        <v>DOWN</v>
      </c>
      <c r="S543">
        <v>1.1767499446868801</v>
      </c>
      <c r="T543" t="str">
        <f t="shared" si="64"/>
        <v>UP</v>
      </c>
      <c r="U543">
        <v>1.1769000291824301</v>
      </c>
      <c r="V543" t="str">
        <f t="shared" si="71"/>
        <v>UP</v>
      </c>
      <c r="W543">
        <v>1.1776499748229901</v>
      </c>
      <c r="X543" t="str">
        <f t="shared" si="65"/>
        <v>UP</v>
      </c>
      <c r="Y543">
        <v>1.1782499551773</v>
      </c>
      <c r="Z543" t="str">
        <f t="shared" si="66"/>
        <v>DOWN</v>
      </c>
      <c r="AA543">
        <v>0</v>
      </c>
      <c r="AB543">
        <v>0</v>
      </c>
      <c r="AC543">
        <v>0</v>
      </c>
      <c r="AD543">
        <v>0</v>
      </c>
    </row>
    <row r="544" spans="1:30" hidden="1" x14ac:dyDescent="0.35">
      <c r="A544" s="2">
        <v>45910</v>
      </c>
      <c r="B544" t="s">
        <v>28</v>
      </c>
      <c r="C544">
        <v>1.1766500473022401</v>
      </c>
      <c r="D544">
        <v>1.1770999431610101</v>
      </c>
      <c r="E544">
        <v>1.1758999824523899</v>
      </c>
      <c r="F544">
        <v>1.1770499944686801</v>
      </c>
      <c r="G544">
        <v>2934</v>
      </c>
      <c r="H544">
        <v>1.1772199869155799</v>
      </c>
      <c r="I544">
        <v>-5.2998065948495199E-4</v>
      </c>
      <c r="J544" t="str">
        <f t="shared" si="67"/>
        <v>DOWN</v>
      </c>
      <c r="K544">
        <v>1.17964200496673</v>
      </c>
      <c r="L544">
        <v>-1.02999210357834E-4</v>
      </c>
      <c r="M544" t="str">
        <f t="shared" si="68"/>
        <v>DOWN</v>
      </c>
      <c r="N544">
        <v>-2.4220180511473899E-3</v>
      </c>
      <c r="O544" t="str">
        <f t="shared" si="69"/>
        <v>DOWN</v>
      </c>
      <c r="P544">
        <v>42.886887073589399</v>
      </c>
      <c r="Q544">
        <v>-2.1740702698501702</v>
      </c>
      <c r="R544" t="str">
        <f t="shared" si="70"/>
        <v>DOWN</v>
      </c>
      <c r="S544">
        <v>1.1769000291824301</v>
      </c>
      <c r="T544" t="str">
        <f t="shared" si="64"/>
        <v>DOWN</v>
      </c>
      <c r="U544">
        <v>1.1767499446868801</v>
      </c>
      <c r="V544" t="str">
        <f t="shared" si="71"/>
        <v>DOWN</v>
      </c>
      <c r="W544">
        <v>1.17774999141693</v>
      </c>
      <c r="X544" t="str">
        <f t="shared" si="65"/>
        <v>DOWN</v>
      </c>
      <c r="Y544">
        <v>1.1776499748229901</v>
      </c>
      <c r="Z544" t="str">
        <f t="shared" si="66"/>
        <v>DOWN</v>
      </c>
      <c r="AA544">
        <v>0</v>
      </c>
      <c r="AB544">
        <v>0</v>
      </c>
      <c r="AC544">
        <v>0</v>
      </c>
      <c r="AD544">
        <v>0</v>
      </c>
    </row>
    <row r="545" spans="1:30" hidden="1" x14ac:dyDescent="0.35">
      <c r="A545" s="2">
        <v>45910</v>
      </c>
      <c r="B545" t="s">
        <v>39</v>
      </c>
      <c r="C545">
        <v>1.1759500503539999</v>
      </c>
      <c r="D545">
        <v>1.1767499446868801</v>
      </c>
      <c r="E545">
        <v>1.1758999824523899</v>
      </c>
      <c r="F545">
        <v>1.1765999794006301</v>
      </c>
      <c r="G545">
        <v>0</v>
      </c>
      <c r="H545">
        <v>1.1767899990081701</v>
      </c>
      <c r="I545">
        <v>-4.2998790740966699E-4</v>
      </c>
      <c r="J545" t="str">
        <f t="shared" si="67"/>
        <v>DOWN</v>
      </c>
      <c r="K545">
        <v>1.1795440053939801</v>
      </c>
      <c r="L545" s="1">
        <v>-9.7999572753915105E-5</v>
      </c>
      <c r="M545" t="str">
        <f t="shared" si="68"/>
        <v>DOWN</v>
      </c>
      <c r="N545">
        <v>-2.7540063858031401E-3</v>
      </c>
      <c r="O545" t="str">
        <f t="shared" si="69"/>
        <v>DOWN</v>
      </c>
      <c r="P545">
        <v>39.67911177269</v>
      </c>
      <c r="Q545">
        <v>-3.2077753008994101</v>
      </c>
      <c r="R545" t="str">
        <f t="shared" si="70"/>
        <v>DOWN</v>
      </c>
      <c r="S545">
        <v>1.1758999824523899</v>
      </c>
      <c r="T545" t="str">
        <f t="shared" si="64"/>
        <v>UP</v>
      </c>
      <c r="U545">
        <v>1.1769000291824301</v>
      </c>
      <c r="V545" t="str">
        <f t="shared" si="71"/>
        <v>DOWN</v>
      </c>
      <c r="W545">
        <v>1.1770999431610101</v>
      </c>
      <c r="X545" t="str">
        <f t="shared" si="65"/>
        <v>DOWN</v>
      </c>
      <c r="Y545">
        <v>1.17774999141693</v>
      </c>
      <c r="Z545" t="str">
        <f t="shared" si="66"/>
        <v>DOWN</v>
      </c>
      <c r="AA545">
        <v>0</v>
      </c>
      <c r="AB545">
        <v>0</v>
      </c>
      <c r="AC545">
        <v>0</v>
      </c>
      <c r="AD545">
        <v>0</v>
      </c>
    </row>
    <row r="546" spans="1:30" hidden="1" x14ac:dyDescent="0.35">
      <c r="A546" s="2">
        <v>45910</v>
      </c>
      <c r="B546" t="s">
        <v>40</v>
      </c>
      <c r="C546">
        <v>1.1766500473022401</v>
      </c>
      <c r="D546">
        <v>1.1766999959945601</v>
      </c>
      <c r="E546">
        <v>1.1762000322341899</v>
      </c>
      <c r="F546">
        <v>1.1763499975204399</v>
      </c>
      <c r="G546">
        <v>590</v>
      </c>
      <c r="H546">
        <v>1.1767000198364199</v>
      </c>
      <c r="I546" s="1">
        <v>-8.9979171753018505E-5</v>
      </c>
      <c r="J546" t="str">
        <f t="shared" si="67"/>
        <v>DOWN</v>
      </c>
      <c r="K546">
        <v>1.1794630074501</v>
      </c>
      <c r="L546" s="1">
        <v>-8.0997943878058297E-5</v>
      </c>
      <c r="M546" t="str">
        <f t="shared" si="68"/>
        <v>DOWN</v>
      </c>
      <c r="N546">
        <v>-2.7629876136780998E-3</v>
      </c>
      <c r="O546" t="str">
        <f t="shared" si="69"/>
        <v>DOWN</v>
      </c>
      <c r="P546">
        <v>44.1757408679901</v>
      </c>
      <c r="Q546">
        <v>4.4966290953000998</v>
      </c>
      <c r="R546" t="str">
        <f t="shared" si="70"/>
        <v>UP</v>
      </c>
      <c r="S546">
        <v>1.1758999824523899</v>
      </c>
      <c r="T546" t="str">
        <f t="shared" si="64"/>
        <v>UP</v>
      </c>
      <c r="U546">
        <v>1.1758999824523899</v>
      </c>
      <c r="V546" t="str">
        <f t="shared" si="71"/>
        <v>UP</v>
      </c>
      <c r="W546">
        <v>1.1767499446868801</v>
      </c>
      <c r="X546" t="str">
        <f t="shared" si="65"/>
        <v>DOWN</v>
      </c>
      <c r="Y546">
        <v>1.1770999431610101</v>
      </c>
      <c r="Z546" t="str">
        <f t="shared" si="66"/>
        <v>DOWN</v>
      </c>
      <c r="AA546">
        <v>0</v>
      </c>
      <c r="AB546">
        <v>0</v>
      </c>
      <c r="AC546">
        <v>0</v>
      </c>
      <c r="AD546">
        <v>0</v>
      </c>
    </row>
    <row r="547" spans="1:30" hidden="1" x14ac:dyDescent="0.35">
      <c r="A547" s="2">
        <v>45910</v>
      </c>
      <c r="B547" t="s">
        <v>42</v>
      </c>
      <c r="C547">
        <v>1.1765999794006301</v>
      </c>
      <c r="D547">
        <v>1.1770000457763601</v>
      </c>
      <c r="E547">
        <v>1.1764999628067001</v>
      </c>
      <c r="F547">
        <v>1.1765999794006301</v>
      </c>
      <c r="G547">
        <v>209</v>
      </c>
      <c r="H547">
        <v>1.1765900135040199</v>
      </c>
      <c r="I547">
        <v>-1.1000633239732701E-4</v>
      </c>
      <c r="J547" t="str">
        <f t="shared" si="67"/>
        <v>DOWN</v>
      </c>
      <c r="K547">
        <v>1.1793370079994201</v>
      </c>
      <c r="L547">
        <v>-1.2599945068370001E-4</v>
      </c>
      <c r="M547" t="str">
        <f t="shared" si="68"/>
        <v>DOWN</v>
      </c>
      <c r="N547">
        <v>-2.7469944953917298E-3</v>
      </c>
      <c r="O547" t="str">
        <f t="shared" si="69"/>
        <v>DOWN</v>
      </c>
      <c r="P547">
        <v>43.923529593389702</v>
      </c>
      <c r="Q547">
        <v>-0.25221127460039799</v>
      </c>
      <c r="R547" t="str">
        <f t="shared" si="70"/>
        <v>DOWN</v>
      </c>
      <c r="S547">
        <v>1.1762000322341899</v>
      </c>
      <c r="T547" t="str">
        <f t="shared" si="64"/>
        <v>UP</v>
      </c>
      <c r="U547">
        <v>1.1758999824523899</v>
      </c>
      <c r="V547" t="str">
        <f t="shared" si="71"/>
        <v>UP</v>
      </c>
      <c r="W547">
        <v>1.1766999959945601</v>
      </c>
      <c r="X547" t="str">
        <f t="shared" si="65"/>
        <v>UP</v>
      </c>
      <c r="Y547">
        <v>1.1767499446868801</v>
      </c>
      <c r="Z547" t="str">
        <f t="shared" si="66"/>
        <v>UP</v>
      </c>
      <c r="AA547">
        <v>0</v>
      </c>
      <c r="AB547">
        <v>0</v>
      </c>
      <c r="AC547">
        <v>0</v>
      </c>
      <c r="AD547">
        <v>0</v>
      </c>
    </row>
    <row r="548" spans="1:30" hidden="1" x14ac:dyDescent="0.35">
      <c r="A548" s="2">
        <v>45911</v>
      </c>
      <c r="B548" t="s">
        <v>29</v>
      </c>
      <c r="C548">
        <v>1.1757500171661299</v>
      </c>
      <c r="D548">
        <v>1.1765500307083101</v>
      </c>
      <c r="E548">
        <v>1.1757500171661299</v>
      </c>
      <c r="F548">
        <v>1.1765500307083101</v>
      </c>
      <c r="G548">
        <v>546</v>
      </c>
      <c r="H548">
        <v>1.1763200283050499</v>
      </c>
      <c r="I548">
        <v>-2.6998519897469798E-4</v>
      </c>
      <c r="J548" t="str">
        <f t="shared" si="67"/>
        <v>DOWN</v>
      </c>
      <c r="K548">
        <v>1.1791920089721599</v>
      </c>
      <c r="L548">
        <v>-1.4499902725217899E-4</v>
      </c>
      <c r="M548" t="str">
        <f t="shared" si="68"/>
        <v>DOWN</v>
      </c>
      <c r="N548">
        <v>-2.8719806671142398E-3</v>
      </c>
      <c r="O548" t="str">
        <f t="shared" si="69"/>
        <v>DOWN</v>
      </c>
      <c r="P548">
        <v>39.772217507587499</v>
      </c>
      <c r="Q548">
        <v>-4.1513120858022097</v>
      </c>
      <c r="R548" t="str">
        <f t="shared" si="70"/>
        <v>DOWN</v>
      </c>
      <c r="S548">
        <v>1.1764999628067001</v>
      </c>
      <c r="T548" t="str">
        <f t="shared" si="64"/>
        <v>DOWN</v>
      </c>
      <c r="U548">
        <v>1.1762000322341899</v>
      </c>
      <c r="V548" t="str">
        <f t="shared" si="71"/>
        <v>DOWN</v>
      </c>
      <c r="W548">
        <v>1.1770000457763601</v>
      </c>
      <c r="X548" t="str">
        <f t="shared" si="65"/>
        <v>DOWN</v>
      </c>
      <c r="Y548">
        <v>1.1766999959945601</v>
      </c>
      <c r="Z548" t="str">
        <f t="shared" si="66"/>
        <v>DOWN</v>
      </c>
      <c r="AA548">
        <v>0</v>
      </c>
      <c r="AB548">
        <v>0</v>
      </c>
      <c r="AC548">
        <v>0</v>
      </c>
      <c r="AD548">
        <v>0</v>
      </c>
    </row>
    <row r="549" spans="1:30" hidden="1" x14ac:dyDescent="0.35">
      <c r="A549" s="2">
        <v>45911</v>
      </c>
      <c r="B549" t="s">
        <v>30</v>
      </c>
      <c r="C549">
        <v>1.1760499477386399</v>
      </c>
      <c r="D549">
        <v>1.1765999794006301</v>
      </c>
      <c r="E549">
        <v>1.1756000518798799</v>
      </c>
      <c r="F549">
        <v>1.1756999492645199</v>
      </c>
      <c r="G549">
        <v>271</v>
      </c>
      <c r="H549">
        <v>1.1762000083923301</v>
      </c>
      <c r="I549">
        <v>-1.20019912719593E-4</v>
      </c>
      <c r="J549" t="str">
        <f t="shared" si="67"/>
        <v>DOWN</v>
      </c>
      <c r="K549">
        <v>1.17905000686645</v>
      </c>
      <c r="L549">
        <v>-1.4200210571280099E-4</v>
      </c>
      <c r="M549" t="str">
        <f t="shared" si="68"/>
        <v>DOWN</v>
      </c>
      <c r="N549">
        <v>-2.84999847412104E-3</v>
      </c>
      <c r="O549" t="str">
        <f t="shared" si="69"/>
        <v>DOWN</v>
      </c>
      <c r="P549">
        <v>41.860388543033402</v>
      </c>
      <c r="Q549">
        <v>2.0881710354458698</v>
      </c>
      <c r="R549" t="str">
        <f t="shared" si="70"/>
        <v>UP</v>
      </c>
      <c r="S549">
        <v>1.1757500171661299</v>
      </c>
      <c r="T549" t="str">
        <f t="shared" si="64"/>
        <v>DOWN</v>
      </c>
      <c r="U549">
        <v>1.1764999628067001</v>
      </c>
      <c r="V549" t="str">
        <f t="shared" si="71"/>
        <v>DOWN</v>
      </c>
      <c r="W549">
        <v>1.1765500307083101</v>
      </c>
      <c r="X549" t="str">
        <f t="shared" si="65"/>
        <v>UP</v>
      </c>
      <c r="Y549">
        <v>1.1770000457763601</v>
      </c>
      <c r="Z549" t="str">
        <f t="shared" si="66"/>
        <v>DOWN</v>
      </c>
      <c r="AA549">
        <v>0</v>
      </c>
      <c r="AB549">
        <v>0</v>
      </c>
      <c r="AC549">
        <v>0</v>
      </c>
      <c r="AD549">
        <v>0</v>
      </c>
    </row>
    <row r="550" spans="1:30" hidden="1" x14ac:dyDescent="0.35">
      <c r="A550" s="2">
        <v>45911</v>
      </c>
      <c r="B550" t="s">
        <v>31</v>
      </c>
      <c r="C550">
        <v>1.1759999990463199</v>
      </c>
      <c r="D550">
        <v>1.1762499809265099</v>
      </c>
      <c r="E550">
        <v>1.1756999492645199</v>
      </c>
      <c r="F550">
        <v>1.1760499477386399</v>
      </c>
      <c r="G550">
        <v>380</v>
      </c>
      <c r="H550">
        <v>1.1762099981307901</v>
      </c>
      <c r="I550" s="1">
        <v>9.9897384642222403E-6</v>
      </c>
      <c r="J550" t="str">
        <f t="shared" si="67"/>
        <v>UP</v>
      </c>
      <c r="K550">
        <v>1.1789120078086801</v>
      </c>
      <c r="L550">
        <v>-1.37999057769899E-4</v>
      </c>
      <c r="M550" t="str">
        <f t="shared" si="68"/>
        <v>DOWN</v>
      </c>
      <c r="N550">
        <v>-2.7020096778869098E-3</v>
      </c>
      <c r="O550" t="str">
        <f t="shared" si="69"/>
        <v>DOWN</v>
      </c>
      <c r="P550">
        <v>41.6017052408084</v>
      </c>
      <c r="Q550">
        <v>-0.25868330222497998</v>
      </c>
      <c r="R550" t="str">
        <f t="shared" si="70"/>
        <v>DOWN</v>
      </c>
      <c r="S550">
        <v>1.1756000518798799</v>
      </c>
      <c r="T550" t="str">
        <f t="shared" si="64"/>
        <v>UP</v>
      </c>
      <c r="U550">
        <v>1.1757500171661299</v>
      </c>
      <c r="V550" t="str">
        <f t="shared" si="71"/>
        <v>DOWN</v>
      </c>
      <c r="W550">
        <v>1.1765999794006301</v>
      </c>
      <c r="X550" t="str">
        <f t="shared" si="65"/>
        <v>DOWN</v>
      </c>
      <c r="Y550">
        <v>1.1765500307083101</v>
      </c>
      <c r="Z550" t="str">
        <f t="shared" si="66"/>
        <v>DOWN</v>
      </c>
      <c r="AA550">
        <v>0</v>
      </c>
      <c r="AB550">
        <v>0</v>
      </c>
      <c r="AC550">
        <v>0</v>
      </c>
      <c r="AD550">
        <v>0</v>
      </c>
    </row>
    <row r="551" spans="1:30" hidden="1" x14ac:dyDescent="0.35">
      <c r="A551" s="2">
        <v>45911</v>
      </c>
      <c r="B551" t="s">
        <v>32</v>
      </c>
      <c r="C551">
        <v>1.1758999824523899</v>
      </c>
      <c r="D551">
        <v>1.1763499975204399</v>
      </c>
      <c r="E551">
        <v>1.1757999658584499</v>
      </c>
      <c r="F551">
        <v>1.1759999990463199</v>
      </c>
      <c r="G551">
        <v>225</v>
      </c>
      <c r="H551">
        <v>1.17605998516082</v>
      </c>
      <c r="I551">
        <v>-1.5001296997074699E-4</v>
      </c>
      <c r="J551" t="str">
        <f t="shared" si="67"/>
        <v>DOWN</v>
      </c>
      <c r="K551">
        <v>1.1787600064277599</v>
      </c>
      <c r="L551">
        <v>-1.5200138092041901E-4</v>
      </c>
      <c r="M551" t="str">
        <f t="shared" si="68"/>
        <v>DOWN</v>
      </c>
      <c r="N551">
        <v>-2.70002126693724E-3</v>
      </c>
      <c r="O551" t="str">
        <f t="shared" si="69"/>
        <v>DOWN</v>
      </c>
      <c r="P551">
        <v>41.054614032228699</v>
      </c>
      <c r="Q551">
        <v>-0.54709120857970805</v>
      </c>
      <c r="R551" t="str">
        <f t="shared" si="70"/>
        <v>DOWN</v>
      </c>
      <c r="S551">
        <v>1.1756999492645199</v>
      </c>
      <c r="T551" t="str">
        <f t="shared" si="64"/>
        <v>UP</v>
      </c>
      <c r="U551">
        <v>1.1756000518798799</v>
      </c>
      <c r="V551" t="str">
        <f t="shared" si="71"/>
        <v>UP</v>
      </c>
      <c r="W551">
        <v>1.1762499809265099</v>
      </c>
      <c r="X551" t="str">
        <f t="shared" si="65"/>
        <v>UP</v>
      </c>
      <c r="Y551">
        <v>1.1765999794006301</v>
      </c>
      <c r="Z551" t="str">
        <f t="shared" si="66"/>
        <v>DOWN</v>
      </c>
      <c r="AA551">
        <v>0</v>
      </c>
      <c r="AB551">
        <v>0</v>
      </c>
      <c r="AC551">
        <v>0</v>
      </c>
      <c r="AD551">
        <v>0</v>
      </c>
    </row>
    <row r="552" spans="1:30" hidden="1" x14ac:dyDescent="0.35">
      <c r="A552" s="2">
        <v>45911</v>
      </c>
      <c r="B552" t="s">
        <v>33</v>
      </c>
      <c r="C552">
        <v>1.1762499809265099</v>
      </c>
      <c r="D552">
        <v>1.1762499809265099</v>
      </c>
      <c r="E552">
        <v>1.1757500171661299</v>
      </c>
      <c r="F552">
        <v>1.1759500503539999</v>
      </c>
      <c r="G552">
        <v>211</v>
      </c>
      <c r="H552">
        <v>1.1759899854660001</v>
      </c>
      <c r="I552" s="1">
        <v>-6.9999694824129905E-5</v>
      </c>
      <c r="J552" t="str">
        <f t="shared" si="67"/>
        <v>DOWN</v>
      </c>
      <c r="K552">
        <v>1.17860900640487</v>
      </c>
      <c r="L552">
        <v>-1.5100002288814801E-4</v>
      </c>
      <c r="M552" t="str">
        <f t="shared" si="68"/>
        <v>DOWN</v>
      </c>
      <c r="N552">
        <v>-2.6190209388732202E-3</v>
      </c>
      <c r="O552" t="str">
        <f t="shared" si="69"/>
        <v>DOWN</v>
      </c>
      <c r="P552">
        <v>43.8379786822954</v>
      </c>
      <c r="Q552">
        <v>2.7833646500667002</v>
      </c>
      <c r="R552" t="str">
        <f t="shared" si="70"/>
        <v>UP</v>
      </c>
      <c r="S552">
        <v>1.1757999658584499</v>
      </c>
      <c r="T552" t="str">
        <f t="shared" si="64"/>
        <v>DOWN</v>
      </c>
      <c r="U552">
        <v>1.1756999492645199</v>
      </c>
      <c r="V552" t="str">
        <f t="shared" si="71"/>
        <v>UP</v>
      </c>
      <c r="W552">
        <v>1.1763499975204399</v>
      </c>
      <c r="X552" t="str">
        <f t="shared" si="65"/>
        <v>DOWN</v>
      </c>
      <c r="Y552">
        <v>1.1762499809265099</v>
      </c>
      <c r="Z552" t="str">
        <f t="shared" si="66"/>
        <v>DOWN</v>
      </c>
      <c r="AA552">
        <v>0</v>
      </c>
      <c r="AB552">
        <v>0</v>
      </c>
      <c r="AC552">
        <v>0</v>
      </c>
      <c r="AD552">
        <v>0</v>
      </c>
    </row>
    <row r="553" spans="1:30" hidden="1" x14ac:dyDescent="0.35">
      <c r="A553" s="2">
        <v>45911</v>
      </c>
      <c r="B553" t="s">
        <v>41</v>
      </c>
      <c r="C553">
        <v>1.1753499507903999</v>
      </c>
      <c r="D553">
        <v>1.1763000488281199</v>
      </c>
      <c r="E553">
        <v>1.1753000020980799</v>
      </c>
      <c r="F553">
        <v>1.1763000488281199</v>
      </c>
      <c r="G553">
        <v>565</v>
      </c>
      <c r="H553">
        <v>1.1759099721908499</v>
      </c>
      <c r="I553" s="1">
        <v>-8.0013275146395503E-5</v>
      </c>
      <c r="J553" t="str">
        <f t="shared" si="67"/>
        <v>DOWN</v>
      </c>
      <c r="K553">
        <v>1.1784330058097801</v>
      </c>
      <c r="L553">
        <v>-1.7600059509281701E-4</v>
      </c>
      <c r="M553" t="str">
        <f t="shared" si="68"/>
        <v>DOWN</v>
      </c>
      <c r="N553">
        <v>-2.5230336189268E-3</v>
      </c>
      <c r="O553" t="str">
        <f t="shared" si="69"/>
        <v>DOWN</v>
      </c>
      <c r="P553">
        <v>38.768380540323299</v>
      </c>
      <c r="Q553">
        <v>-5.0695981419720697</v>
      </c>
      <c r="R553" t="str">
        <f t="shared" si="70"/>
        <v>DOWN</v>
      </c>
      <c r="S553">
        <v>1.1757500171661299</v>
      </c>
      <c r="T553" t="str">
        <f t="shared" si="64"/>
        <v>DOWN</v>
      </c>
      <c r="U553">
        <v>1.1757999658584499</v>
      </c>
      <c r="V553" t="str">
        <f t="shared" si="71"/>
        <v>DOWN</v>
      </c>
      <c r="W553">
        <v>1.1762499809265099</v>
      </c>
      <c r="X553" t="str">
        <f t="shared" si="65"/>
        <v>UP</v>
      </c>
      <c r="Y553">
        <v>1.1763499975204399</v>
      </c>
      <c r="Z553" t="str">
        <f t="shared" si="66"/>
        <v>DOWN</v>
      </c>
      <c r="AA553">
        <v>0</v>
      </c>
      <c r="AB553">
        <v>0</v>
      </c>
      <c r="AC553">
        <v>0</v>
      </c>
      <c r="AD553">
        <v>0</v>
      </c>
    </row>
    <row r="554" spans="1:30" hidden="1" x14ac:dyDescent="0.35">
      <c r="A554" s="2">
        <v>45911</v>
      </c>
      <c r="B554" t="s">
        <v>34</v>
      </c>
      <c r="C554">
        <v>1.1754000186920099</v>
      </c>
      <c r="D554">
        <v>1.1759999990463199</v>
      </c>
      <c r="E554">
        <v>1.17470002174377</v>
      </c>
      <c r="F554">
        <v>1.1753000020980799</v>
      </c>
      <c r="G554">
        <v>3681</v>
      </c>
      <c r="H554">
        <v>1.1757799863815299</v>
      </c>
      <c r="I554">
        <v>-1.2998580932621601E-4</v>
      </c>
      <c r="J554" t="str">
        <f t="shared" si="67"/>
        <v>DOWN</v>
      </c>
      <c r="K554">
        <v>1.1782700061797999</v>
      </c>
      <c r="L554">
        <v>-1.6299962997434701E-4</v>
      </c>
      <c r="M554" t="str">
        <f t="shared" si="68"/>
        <v>DOWN</v>
      </c>
      <c r="N554">
        <v>-2.4900197982786702E-3</v>
      </c>
      <c r="O554" t="str">
        <f t="shared" si="69"/>
        <v>DOWN</v>
      </c>
      <c r="P554">
        <v>39.189676553545397</v>
      </c>
      <c r="Q554">
        <v>0.421296013222068</v>
      </c>
      <c r="R554" t="str">
        <f t="shared" si="70"/>
        <v>UP</v>
      </c>
      <c r="S554">
        <v>1.1753000020980799</v>
      </c>
      <c r="T554" t="str">
        <f t="shared" si="64"/>
        <v>DOWN</v>
      </c>
      <c r="U554">
        <v>1.1757500171661299</v>
      </c>
      <c r="V554" t="str">
        <f t="shared" si="71"/>
        <v>DOWN</v>
      </c>
      <c r="W554">
        <v>1.1763000488281199</v>
      </c>
      <c r="X554" t="str">
        <f t="shared" si="65"/>
        <v>DOWN</v>
      </c>
      <c r="Y554">
        <v>1.1762499809265099</v>
      </c>
      <c r="Z554" t="str">
        <f t="shared" si="66"/>
        <v>DOWN</v>
      </c>
      <c r="AA554">
        <v>0</v>
      </c>
      <c r="AB554">
        <v>0</v>
      </c>
      <c r="AC554">
        <v>0</v>
      </c>
      <c r="AD554">
        <v>0</v>
      </c>
    </row>
    <row r="555" spans="1:30" hidden="1" x14ac:dyDescent="0.35">
      <c r="A555" s="2">
        <v>45911</v>
      </c>
      <c r="B555" t="s">
        <v>35</v>
      </c>
      <c r="C555">
        <v>1.1756000518798799</v>
      </c>
      <c r="D555">
        <v>1.1759500503539999</v>
      </c>
      <c r="E555">
        <v>1.17499995231628</v>
      </c>
      <c r="F555">
        <v>1.1754499673843299</v>
      </c>
      <c r="G555">
        <v>12447</v>
      </c>
      <c r="H555">
        <v>1.17569999694824</v>
      </c>
      <c r="I555" s="1">
        <v>-7.9989433288574205E-5</v>
      </c>
      <c r="J555" t="str">
        <f t="shared" si="67"/>
        <v>DOWN</v>
      </c>
      <c r="K555">
        <v>1.1781210064887999</v>
      </c>
      <c r="L555">
        <v>-1.4899969100934301E-4</v>
      </c>
      <c r="M555" t="str">
        <f t="shared" si="68"/>
        <v>DOWN</v>
      </c>
      <c r="N555">
        <v>-2.4210095405579001E-3</v>
      </c>
      <c r="O555" t="str">
        <f t="shared" si="69"/>
        <v>DOWN</v>
      </c>
      <c r="P555">
        <v>40.938099003540103</v>
      </c>
      <c r="Q555">
        <v>1.7484224499946901</v>
      </c>
      <c r="R555" t="str">
        <f t="shared" si="70"/>
        <v>UP</v>
      </c>
      <c r="S555">
        <v>1.17470002174377</v>
      </c>
      <c r="T555" t="str">
        <f t="shared" si="64"/>
        <v>UP</v>
      </c>
      <c r="U555">
        <v>1.1753000020980799</v>
      </c>
      <c r="V555" t="str">
        <f t="shared" si="71"/>
        <v>DOWN</v>
      </c>
      <c r="W555">
        <v>1.1759999990463199</v>
      </c>
      <c r="X555" t="str">
        <f t="shared" si="65"/>
        <v>DOWN</v>
      </c>
      <c r="Y555">
        <v>1.1763000488281199</v>
      </c>
      <c r="Z555" t="str">
        <f t="shared" si="66"/>
        <v>DOWN</v>
      </c>
      <c r="AA555">
        <v>0</v>
      </c>
      <c r="AB555">
        <v>0</v>
      </c>
      <c r="AC555">
        <v>0</v>
      </c>
      <c r="AD555">
        <v>0</v>
      </c>
    </row>
    <row r="556" spans="1:30" hidden="1" x14ac:dyDescent="0.35">
      <c r="A556" s="2">
        <v>45911</v>
      </c>
      <c r="B556" t="s">
        <v>36</v>
      </c>
      <c r="C556">
        <v>1.1756500005721999</v>
      </c>
      <c r="D556">
        <v>1.1758999824523899</v>
      </c>
      <c r="E556">
        <v>1.1751999855041499</v>
      </c>
      <c r="F556">
        <v>1.1756500005721999</v>
      </c>
      <c r="G556">
        <v>16327</v>
      </c>
      <c r="H556">
        <v>1.1756500005721999</v>
      </c>
      <c r="I556" s="1">
        <v>-4.9996376037641997E-5</v>
      </c>
      <c r="J556" t="str">
        <f t="shared" si="67"/>
        <v>DOWN</v>
      </c>
      <c r="K556">
        <v>1.1779550075531</v>
      </c>
      <c r="L556">
        <v>-1.65998935699462E-4</v>
      </c>
      <c r="M556" t="str">
        <f t="shared" si="68"/>
        <v>DOWN</v>
      </c>
      <c r="N556">
        <v>-2.3050069808960801E-3</v>
      </c>
      <c r="O556" t="str">
        <f t="shared" si="69"/>
        <v>DOWN</v>
      </c>
      <c r="P556">
        <v>41.391245164930197</v>
      </c>
      <c r="Q556">
        <v>0.45314616139008002</v>
      </c>
      <c r="R556" t="str">
        <f t="shared" si="70"/>
        <v>UP</v>
      </c>
      <c r="S556">
        <v>1.17499995231628</v>
      </c>
      <c r="T556" t="str">
        <f t="shared" si="64"/>
        <v>UP</v>
      </c>
      <c r="U556">
        <v>1.17470002174377</v>
      </c>
      <c r="V556" t="str">
        <f t="shared" si="71"/>
        <v>UP</v>
      </c>
      <c r="W556">
        <v>1.1759500503539999</v>
      </c>
      <c r="X556" t="str">
        <f t="shared" si="65"/>
        <v>DOWN</v>
      </c>
      <c r="Y556">
        <v>1.1759999990463199</v>
      </c>
      <c r="Z556" t="str">
        <f t="shared" si="66"/>
        <v>DOWN</v>
      </c>
      <c r="AA556">
        <v>0</v>
      </c>
      <c r="AB556">
        <v>0</v>
      </c>
      <c r="AC556">
        <v>0</v>
      </c>
      <c r="AD556">
        <v>0</v>
      </c>
    </row>
    <row r="557" spans="1:30" hidden="1" x14ac:dyDescent="0.35">
      <c r="A557" s="2">
        <v>45911</v>
      </c>
      <c r="B557" t="s">
        <v>37</v>
      </c>
      <c r="C557">
        <v>1.17495000362396</v>
      </c>
      <c r="D557">
        <v>1.1756999492645199</v>
      </c>
      <c r="E557">
        <v>1.17414999008178</v>
      </c>
      <c r="F557">
        <v>1.1755499839782699</v>
      </c>
      <c r="G557">
        <v>37208</v>
      </c>
      <c r="H557">
        <v>1.1753900051116899</v>
      </c>
      <c r="I557">
        <v>-2.5999546051025298E-4</v>
      </c>
      <c r="J557" t="str">
        <f t="shared" si="67"/>
        <v>DOWN</v>
      </c>
      <c r="K557">
        <v>1.1777630066871601</v>
      </c>
      <c r="L557">
        <v>-1.9200086593640299E-4</v>
      </c>
      <c r="M557" t="str">
        <f t="shared" si="68"/>
        <v>DOWN</v>
      </c>
      <c r="N557">
        <v>-2.37300157546993E-3</v>
      </c>
      <c r="O557" t="str">
        <f t="shared" si="69"/>
        <v>DOWN</v>
      </c>
      <c r="P557">
        <v>37.095763181299503</v>
      </c>
      <c r="Q557">
        <v>-4.2954819836306797</v>
      </c>
      <c r="R557" t="str">
        <f t="shared" si="70"/>
        <v>DOWN</v>
      </c>
      <c r="S557">
        <v>1.1751999855041499</v>
      </c>
      <c r="T557" t="str">
        <f t="shared" si="64"/>
        <v>DOWN</v>
      </c>
      <c r="U557">
        <v>1.17499995231628</v>
      </c>
      <c r="V557" t="str">
        <f t="shared" si="71"/>
        <v>DOWN</v>
      </c>
      <c r="W557">
        <v>1.1758999824523899</v>
      </c>
      <c r="X557" t="str">
        <f t="shared" si="65"/>
        <v>DOWN</v>
      </c>
      <c r="Y557">
        <v>1.1759500503539999</v>
      </c>
      <c r="Z557" t="str">
        <f t="shared" si="66"/>
        <v>DOWN</v>
      </c>
      <c r="AA557">
        <v>0</v>
      </c>
      <c r="AB557">
        <v>0</v>
      </c>
      <c r="AC557">
        <v>0</v>
      </c>
      <c r="AD557">
        <v>0</v>
      </c>
    </row>
    <row r="558" spans="1:30" hidden="1" x14ac:dyDescent="0.35">
      <c r="A558" s="2">
        <v>45911</v>
      </c>
      <c r="B558" t="s">
        <v>20</v>
      </c>
      <c r="C558">
        <v>1.17470002174377</v>
      </c>
      <c r="D558">
        <v>1.1752500534057599</v>
      </c>
      <c r="E558">
        <v>1.17429995536804</v>
      </c>
      <c r="F558">
        <v>1.17495000362396</v>
      </c>
      <c r="G558">
        <v>18390</v>
      </c>
      <c r="H558">
        <v>1.1752600193023599</v>
      </c>
      <c r="I558">
        <v>-1.2998580932621601E-4</v>
      </c>
      <c r="J558" t="str">
        <f t="shared" si="67"/>
        <v>DOWN</v>
      </c>
      <c r="K558">
        <v>1.17759400606155</v>
      </c>
      <c r="L558">
        <v>-1.6900062561031601E-4</v>
      </c>
      <c r="M558" t="str">
        <f t="shared" si="68"/>
        <v>DOWN</v>
      </c>
      <c r="N558">
        <v>-2.3339867591858298E-3</v>
      </c>
      <c r="O558" t="str">
        <f t="shared" si="69"/>
        <v>DOWN</v>
      </c>
      <c r="P558">
        <v>35.672030960890702</v>
      </c>
      <c r="Q558">
        <v>-1.4237322204087399</v>
      </c>
      <c r="R558" t="str">
        <f t="shared" si="70"/>
        <v>DOWN</v>
      </c>
      <c r="S558">
        <v>1.17414999008178</v>
      </c>
      <c r="T558" t="str">
        <f t="shared" si="64"/>
        <v>UP</v>
      </c>
      <c r="U558">
        <v>1.1751999855041499</v>
      </c>
      <c r="V558" t="str">
        <f t="shared" si="71"/>
        <v>DOWN</v>
      </c>
      <c r="W558">
        <v>1.1756999492645199</v>
      </c>
      <c r="X558" t="str">
        <f t="shared" si="65"/>
        <v>DOWN</v>
      </c>
      <c r="Y558">
        <v>1.1758999824523899</v>
      </c>
      <c r="Z558" t="str">
        <f t="shared" si="66"/>
        <v>DOWN</v>
      </c>
      <c r="AA558">
        <v>0</v>
      </c>
      <c r="AB558">
        <v>0</v>
      </c>
      <c r="AC558">
        <v>0</v>
      </c>
      <c r="AD558">
        <v>0</v>
      </c>
    </row>
    <row r="559" spans="1:30" hidden="1" x14ac:dyDescent="0.35">
      <c r="A559" s="2">
        <v>45911</v>
      </c>
      <c r="B559" t="s">
        <v>21</v>
      </c>
      <c r="C559">
        <v>1.17474997043609</v>
      </c>
      <c r="D559">
        <v>1.1755000352859399</v>
      </c>
      <c r="E559">
        <v>1.17420005798339</v>
      </c>
      <c r="F559">
        <v>1.17464995384216</v>
      </c>
      <c r="G559">
        <v>7611</v>
      </c>
      <c r="H559">
        <v>1.1751300096511801</v>
      </c>
      <c r="I559">
        <v>-1.30009651184037E-4</v>
      </c>
      <c r="J559" t="str">
        <f t="shared" si="67"/>
        <v>DOWN</v>
      </c>
      <c r="K559">
        <v>1.1774500060081401</v>
      </c>
      <c r="L559">
        <v>-1.44000053405868E-4</v>
      </c>
      <c r="M559" t="str">
        <f t="shared" si="68"/>
        <v>DOWN</v>
      </c>
      <c r="N559">
        <v>-2.319996356964E-3</v>
      </c>
      <c r="O559" t="str">
        <f t="shared" si="69"/>
        <v>DOWN</v>
      </c>
      <c r="P559">
        <v>36.198935817792098</v>
      </c>
      <c r="Q559">
        <v>0.52690485690130995</v>
      </c>
      <c r="R559" t="str">
        <f t="shared" si="70"/>
        <v>UP</v>
      </c>
      <c r="S559">
        <v>1.17429995536804</v>
      </c>
      <c r="T559" t="str">
        <f t="shared" si="64"/>
        <v>DOWN</v>
      </c>
      <c r="U559">
        <v>1.17414999008178</v>
      </c>
      <c r="V559" t="str">
        <f t="shared" si="71"/>
        <v>UP</v>
      </c>
      <c r="W559">
        <v>1.1752500534057599</v>
      </c>
      <c r="X559" t="str">
        <f t="shared" si="65"/>
        <v>UP</v>
      </c>
      <c r="Y559">
        <v>1.1756999492645199</v>
      </c>
      <c r="Z559" t="str">
        <f t="shared" si="66"/>
        <v>DOWN</v>
      </c>
      <c r="AA559">
        <v>0</v>
      </c>
      <c r="AB559">
        <v>0</v>
      </c>
      <c r="AC559">
        <v>0</v>
      </c>
      <c r="AD559">
        <v>0</v>
      </c>
    </row>
    <row r="560" spans="1:30" hidden="1" x14ac:dyDescent="0.35">
      <c r="A560" s="2">
        <v>45911</v>
      </c>
      <c r="B560" t="s">
        <v>22</v>
      </c>
      <c r="C560">
        <v>1.17780005931854</v>
      </c>
      <c r="D560">
        <v>1.17834997177124</v>
      </c>
      <c r="E560">
        <v>1.1717499494552599</v>
      </c>
      <c r="F560">
        <v>1.17474997043609</v>
      </c>
      <c r="G560">
        <v>39934</v>
      </c>
      <c r="H560">
        <v>1.17557001113891</v>
      </c>
      <c r="I560">
        <v>4.40001487731933E-4</v>
      </c>
      <c r="J560" t="str">
        <f t="shared" si="67"/>
        <v>UP</v>
      </c>
      <c r="K560">
        <v>1.1773540067672701</v>
      </c>
      <c r="L560" s="1">
        <v>-9.59992408751109E-5</v>
      </c>
      <c r="M560" t="str">
        <f t="shared" si="68"/>
        <v>DOWN</v>
      </c>
      <c r="N560">
        <v>-1.78399562835696E-3</v>
      </c>
      <c r="O560" t="str">
        <f t="shared" si="69"/>
        <v>DOWN</v>
      </c>
      <c r="P560">
        <v>58.534346155553301</v>
      </c>
      <c r="Q560">
        <v>22.3354103377612</v>
      </c>
      <c r="R560" t="str">
        <f t="shared" si="70"/>
        <v>UP</v>
      </c>
      <c r="S560">
        <v>1.17420005798339</v>
      </c>
      <c r="T560" t="str">
        <f t="shared" si="64"/>
        <v>DOWN</v>
      </c>
      <c r="U560">
        <v>1.17429995536804</v>
      </c>
      <c r="V560" t="str">
        <f t="shared" si="71"/>
        <v>DOWN</v>
      </c>
      <c r="W560">
        <v>1.1755000352859399</v>
      </c>
      <c r="X560" t="str">
        <f t="shared" si="65"/>
        <v>UP</v>
      </c>
      <c r="Y560">
        <v>1.1752500534057599</v>
      </c>
      <c r="Z560" t="str">
        <f t="shared" si="66"/>
        <v>UP</v>
      </c>
      <c r="AA560">
        <v>0</v>
      </c>
      <c r="AB560">
        <v>1</v>
      </c>
      <c r="AC560">
        <v>0</v>
      </c>
      <c r="AD560">
        <v>0</v>
      </c>
    </row>
    <row r="561" spans="1:30" hidden="1" x14ac:dyDescent="0.35">
      <c r="A561" s="2">
        <v>45911</v>
      </c>
      <c r="B561" t="s">
        <v>23</v>
      </c>
      <c r="C561">
        <v>1.1801999807357699</v>
      </c>
      <c r="D561">
        <v>1.1804499626159599</v>
      </c>
      <c r="E561">
        <v>1.1777000427246</v>
      </c>
      <c r="F561">
        <v>1.17785000801086</v>
      </c>
      <c r="G561">
        <v>26962</v>
      </c>
      <c r="H561">
        <v>1.1764800071716299</v>
      </c>
      <c r="I561">
        <v>9.0999603271479902E-4</v>
      </c>
      <c r="J561" t="str">
        <f t="shared" si="67"/>
        <v>UP</v>
      </c>
      <c r="K561">
        <v>1.17729000568389</v>
      </c>
      <c r="L561" s="1">
        <v>-6.4001083374121096E-5</v>
      </c>
      <c r="M561" t="str">
        <f t="shared" si="68"/>
        <v>DOWN</v>
      </c>
      <c r="N561">
        <v>-8.09998512268039E-4</v>
      </c>
      <c r="O561" t="str">
        <f t="shared" si="69"/>
        <v>DOWN</v>
      </c>
      <c r="P561">
        <v>68.020781798348395</v>
      </c>
      <c r="Q561">
        <v>9.4864356427950192</v>
      </c>
      <c r="R561" t="str">
        <f t="shared" si="70"/>
        <v>UP</v>
      </c>
      <c r="S561">
        <v>1.1717499494552599</v>
      </c>
      <c r="T561" t="str">
        <f t="shared" si="64"/>
        <v>UP</v>
      </c>
      <c r="U561">
        <v>1.17420005798339</v>
      </c>
      <c r="V561" t="str">
        <f t="shared" si="71"/>
        <v>UP</v>
      </c>
      <c r="W561">
        <v>1.17834997177124</v>
      </c>
      <c r="X561" t="str">
        <f t="shared" si="65"/>
        <v>UP</v>
      </c>
      <c r="Y561">
        <v>1.1755000352859399</v>
      </c>
      <c r="Z561" t="str">
        <f t="shared" si="66"/>
        <v>UP</v>
      </c>
      <c r="AA561">
        <v>0</v>
      </c>
      <c r="AB561">
        <v>0</v>
      </c>
      <c r="AC561">
        <v>0</v>
      </c>
      <c r="AD561">
        <v>0</v>
      </c>
    </row>
    <row r="562" spans="1:30" hidden="1" x14ac:dyDescent="0.35">
      <c r="A562" s="2">
        <v>45911</v>
      </c>
      <c r="B562" t="s">
        <v>24</v>
      </c>
      <c r="C562">
        <v>1.17910003662109</v>
      </c>
      <c r="D562">
        <v>1.1807999610900799</v>
      </c>
      <c r="E562">
        <v>1.17879998683929</v>
      </c>
      <c r="F562">
        <v>1.1802500486373899</v>
      </c>
      <c r="G562">
        <v>41132</v>
      </c>
      <c r="H562">
        <v>1.1773100137710499</v>
      </c>
      <c r="I562">
        <v>8.3000659942622501E-4</v>
      </c>
      <c r="J562" t="str">
        <f t="shared" si="67"/>
        <v>UP</v>
      </c>
      <c r="K562">
        <v>1.17723200559616</v>
      </c>
      <c r="L562" s="1">
        <v>-5.8000087737930501E-5</v>
      </c>
      <c r="M562" t="str">
        <f t="shared" si="68"/>
        <v>DOWN</v>
      </c>
      <c r="N562" s="1">
        <v>7.8008174896115795E-5</v>
      </c>
      <c r="O562" t="str">
        <f t="shared" si="69"/>
        <v>UP</v>
      </c>
      <c r="P562">
        <v>61.119173576184799</v>
      </c>
      <c r="Q562">
        <v>-6.9016082221635298</v>
      </c>
      <c r="R562" t="str">
        <f t="shared" si="70"/>
        <v>DOWN</v>
      </c>
      <c r="S562">
        <v>1.1777000427246</v>
      </c>
      <c r="T562" t="str">
        <f t="shared" si="64"/>
        <v>UP</v>
      </c>
      <c r="U562">
        <v>1.1717499494552599</v>
      </c>
      <c r="V562" t="str">
        <f t="shared" si="71"/>
        <v>UP</v>
      </c>
      <c r="W562">
        <v>1.1804499626159599</v>
      </c>
      <c r="X562" t="str">
        <f t="shared" si="65"/>
        <v>UP</v>
      </c>
      <c r="Y562">
        <v>1.17834997177124</v>
      </c>
      <c r="Z562" t="str">
        <f t="shared" si="66"/>
        <v>UP</v>
      </c>
      <c r="AA562">
        <v>0</v>
      </c>
      <c r="AB562">
        <v>0</v>
      </c>
      <c r="AC562">
        <v>0</v>
      </c>
      <c r="AD562">
        <v>0</v>
      </c>
    </row>
    <row r="563" spans="1:30" hidden="1" x14ac:dyDescent="0.35">
      <c r="A563" s="2">
        <v>45911</v>
      </c>
      <c r="B563" t="s">
        <v>25</v>
      </c>
      <c r="C563">
        <v>1.17949998378753</v>
      </c>
      <c r="D563">
        <v>1.1808999776840201</v>
      </c>
      <c r="E563">
        <v>1.17894995212554</v>
      </c>
      <c r="F563">
        <v>1.17904996871948</v>
      </c>
      <c r="G563">
        <v>27028</v>
      </c>
      <c r="H563">
        <v>1.1782700061797999</v>
      </c>
      <c r="I563">
        <v>9.5999240875244097E-4</v>
      </c>
      <c r="J563" t="str">
        <f t="shared" si="67"/>
        <v>UP</v>
      </c>
      <c r="K563">
        <v>1.17720400571823</v>
      </c>
      <c r="L563" s="1">
        <v>-2.79998779297852E-5</v>
      </c>
      <c r="M563" t="str">
        <f t="shared" si="68"/>
        <v>DOWN</v>
      </c>
      <c r="N563">
        <v>1.0660004615783399E-3</v>
      </c>
      <c r="O563" t="str">
        <f t="shared" si="69"/>
        <v>UP</v>
      </c>
      <c r="P563">
        <v>62.604904020787401</v>
      </c>
      <c r="Q563">
        <v>1.4857304446025299</v>
      </c>
      <c r="R563" t="str">
        <f t="shared" si="70"/>
        <v>UP</v>
      </c>
      <c r="S563">
        <v>1.17879998683929</v>
      </c>
      <c r="T563" t="str">
        <f t="shared" si="64"/>
        <v>UP</v>
      </c>
      <c r="U563">
        <v>1.1777000427246</v>
      </c>
      <c r="V563" t="str">
        <f t="shared" si="71"/>
        <v>UP</v>
      </c>
      <c r="W563">
        <v>1.1807999610900799</v>
      </c>
      <c r="X563" t="str">
        <f t="shared" si="65"/>
        <v>UP</v>
      </c>
      <c r="Y563">
        <v>1.1804499626159599</v>
      </c>
      <c r="Z563" t="str">
        <f t="shared" si="66"/>
        <v>UP</v>
      </c>
      <c r="AA563">
        <v>1</v>
      </c>
      <c r="AB563">
        <v>0</v>
      </c>
      <c r="AC563">
        <v>0</v>
      </c>
      <c r="AD563">
        <v>0</v>
      </c>
    </row>
    <row r="564" spans="1:30" hidden="1" x14ac:dyDescent="0.35">
      <c r="A564" s="2">
        <v>45911</v>
      </c>
      <c r="B564" t="s">
        <v>26</v>
      </c>
      <c r="C564">
        <v>1.1799499988555899</v>
      </c>
      <c r="D564">
        <v>1.1802999973297099</v>
      </c>
      <c r="E564">
        <v>1.1793999671936</v>
      </c>
      <c r="F564">
        <v>1.17945003509521</v>
      </c>
      <c r="G564">
        <v>20796</v>
      </c>
      <c r="H564">
        <v>1.1793100118637001</v>
      </c>
      <c r="I564">
        <v>1.0400056838990499E-3</v>
      </c>
      <c r="J564" t="str">
        <f t="shared" si="67"/>
        <v>UP</v>
      </c>
      <c r="K564">
        <v>1.1771950054168701</v>
      </c>
      <c r="L564" s="1">
        <v>-9.0003013610839793E-6</v>
      </c>
      <c r="M564" t="str">
        <f t="shared" si="68"/>
        <v>DOWN</v>
      </c>
      <c r="N564">
        <v>2.1150064468384798E-3</v>
      </c>
      <c r="O564" t="str">
        <f t="shared" si="69"/>
        <v>UP</v>
      </c>
      <c r="P564">
        <v>64.259799737109404</v>
      </c>
      <c r="Q564">
        <v>1.6548957163220199</v>
      </c>
      <c r="R564" t="str">
        <f t="shared" si="70"/>
        <v>UP</v>
      </c>
      <c r="S564">
        <v>1.17894995212554</v>
      </c>
      <c r="T564" t="str">
        <f t="shared" si="64"/>
        <v>UP</v>
      </c>
      <c r="U564">
        <v>1.17879998683929</v>
      </c>
      <c r="V564" t="str">
        <f t="shared" si="71"/>
        <v>UP</v>
      </c>
      <c r="W564">
        <v>1.1808999776840201</v>
      </c>
      <c r="X564" t="str">
        <f t="shared" si="65"/>
        <v>DOWN</v>
      </c>
      <c r="Y564">
        <v>1.1807999610900799</v>
      </c>
      <c r="Z564" t="str">
        <f t="shared" si="66"/>
        <v>DOWN</v>
      </c>
      <c r="AA564">
        <v>0</v>
      </c>
      <c r="AB564">
        <v>0</v>
      </c>
      <c r="AC564">
        <v>0</v>
      </c>
      <c r="AD564">
        <v>0</v>
      </c>
    </row>
    <row r="565" spans="1:30" hidden="1" x14ac:dyDescent="0.35">
      <c r="A565" s="2">
        <v>45911</v>
      </c>
      <c r="B565" t="s">
        <v>27</v>
      </c>
      <c r="C565">
        <v>1.17949998378753</v>
      </c>
      <c r="D565">
        <v>1.1801999807357699</v>
      </c>
      <c r="E565">
        <v>1.17910003662109</v>
      </c>
      <c r="F565">
        <v>1.1799999475479099</v>
      </c>
      <c r="G565">
        <v>4770</v>
      </c>
      <c r="H565">
        <v>1.1796499967575</v>
      </c>
      <c r="I565">
        <v>3.3998489379882802E-4</v>
      </c>
      <c r="J565" t="str">
        <f t="shared" si="67"/>
        <v>UP</v>
      </c>
      <c r="K565">
        <v>1.17716700553894</v>
      </c>
      <c r="L565" s="1">
        <v>-2.7999877929563101E-5</v>
      </c>
      <c r="M565" t="str">
        <f t="shared" si="68"/>
        <v>DOWN</v>
      </c>
      <c r="N565">
        <v>2.4829912185668698E-3</v>
      </c>
      <c r="O565" t="str">
        <f t="shared" si="69"/>
        <v>UP</v>
      </c>
      <c r="P565">
        <v>61.336587982147897</v>
      </c>
      <c r="Q565">
        <v>-2.9232117549614798</v>
      </c>
      <c r="R565" t="str">
        <f t="shared" si="70"/>
        <v>DOWN</v>
      </c>
      <c r="S565">
        <v>1.1793999671936</v>
      </c>
      <c r="T565" t="str">
        <f t="shared" si="64"/>
        <v>DOWN</v>
      </c>
      <c r="U565">
        <v>1.17894995212554</v>
      </c>
      <c r="V565" t="str">
        <f t="shared" si="71"/>
        <v>UP</v>
      </c>
      <c r="W565">
        <v>1.1802999973297099</v>
      </c>
      <c r="X565" t="str">
        <f t="shared" si="65"/>
        <v>DOWN</v>
      </c>
      <c r="Y565">
        <v>1.1808999776840201</v>
      </c>
      <c r="Z565" t="str">
        <f t="shared" si="66"/>
        <v>DOWN</v>
      </c>
      <c r="AA565">
        <v>0</v>
      </c>
      <c r="AB565">
        <v>0</v>
      </c>
      <c r="AC565">
        <v>0</v>
      </c>
      <c r="AD565">
        <v>0</v>
      </c>
    </row>
    <row r="566" spans="1:30" hidden="1" x14ac:dyDescent="0.35">
      <c r="A566" s="2">
        <v>45911</v>
      </c>
      <c r="B566" t="s">
        <v>38</v>
      </c>
      <c r="C566">
        <v>1.1799000501632599</v>
      </c>
      <c r="D566">
        <v>1.1801500320434499</v>
      </c>
      <c r="E566">
        <v>1.1793999671936</v>
      </c>
      <c r="F566">
        <v>1.17949998378753</v>
      </c>
      <c r="G566">
        <v>25144</v>
      </c>
      <c r="H566">
        <v>1.179590010643</v>
      </c>
      <c r="I566" s="1">
        <v>-5.9986114502086298E-5</v>
      </c>
      <c r="J566" t="str">
        <f t="shared" si="67"/>
        <v>DOWN</v>
      </c>
      <c r="K566">
        <v>1.1771710062026901</v>
      </c>
      <c r="L566" s="1">
        <v>4.0006637571643399E-6</v>
      </c>
      <c r="M566" t="str">
        <f t="shared" si="68"/>
        <v>UP</v>
      </c>
      <c r="N566">
        <v>2.41900444030762E-3</v>
      </c>
      <c r="O566" t="str">
        <f t="shared" si="69"/>
        <v>UP</v>
      </c>
      <c r="P566">
        <v>62.950190516541802</v>
      </c>
      <c r="Q566">
        <v>1.61360253439389</v>
      </c>
      <c r="R566" t="str">
        <f t="shared" si="70"/>
        <v>UP</v>
      </c>
      <c r="S566">
        <v>1.17910003662109</v>
      </c>
      <c r="T566" t="str">
        <f t="shared" si="64"/>
        <v>UP</v>
      </c>
      <c r="U566">
        <v>1.1793999671936</v>
      </c>
      <c r="V566" t="str">
        <f t="shared" si="71"/>
        <v>UP</v>
      </c>
      <c r="W566">
        <v>1.1801999807357699</v>
      </c>
      <c r="X566" t="str">
        <f t="shared" si="65"/>
        <v>DOWN</v>
      </c>
      <c r="Y566">
        <v>1.1802999973297099</v>
      </c>
      <c r="Z566" t="str">
        <f t="shared" si="66"/>
        <v>DOWN</v>
      </c>
      <c r="AA566">
        <v>0</v>
      </c>
      <c r="AB566">
        <v>0</v>
      </c>
      <c r="AC566">
        <v>0</v>
      </c>
      <c r="AD566">
        <v>0</v>
      </c>
    </row>
    <row r="567" spans="1:30" hidden="1" x14ac:dyDescent="0.35">
      <c r="A567" s="2">
        <v>45911</v>
      </c>
      <c r="B567" t="s">
        <v>28</v>
      </c>
      <c r="C567">
        <v>1.1799999475479099</v>
      </c>
      <c r="D567">
        <v>1.1801999807357699</v>
      </c>
      <c r="E567">
        <v>1.17960000038146</v>
      </c>
      <c r="F567">
        <v>1.1798499822616499</v>
      </c>
      <c r="G567">
        <v>8172</v>
      </c>
      <c r="H567">
        <v>1.17976999282836</v>
      </c>
      <c r="I567">
        <v>1.79982185363858E-4</v>
      </c>
      <c r="J567" t="str">
        <f t="shared" si="67"/>
        <v>UP</v>
      </c>
      <c r="K567">
        <v>1.17719400405883</v>
      </c>
      <c r="L567" s="1">
        <v>2.29978561401278E-5</v>
      </c>
      <c r="M567" t="str">
        <f t="shared" si="68"/>
        <v>UP</v>
      </c>
      <c r="N567">
        <v>2.5759887695313501E-3</v>
      </c>
      <c r="O567" t="str">
        <f t="shared" si="69"/>
        <v>UP</v>
      </c>
      <c r="P567">
        <v>63.361380232656998</v>
      </c>
      <c r="Q567">
        <v>0.41118971611523097</v>
      </c>
      <c r="R567" t="str">
        <f t="shared" si="70"/>
        <v>UP</v>
      </c>
      <c r="S567">
        <v>1.1793999671936</v>
      </c>
      <c r="T567" t="str">
        <f t="shared" si="64"/>
        <v>UP</v>
      </c>
      <c r="U567">
        <v>1.17910003662109</v>
      </c>
      <c r="V567" t="str">
        <f t="shared" si="71"/>
        <v>UP</v>
      </c>
      <c r="W567">
        <v>1.1801500320434499</v>
      </c>
      <c r="X567" t="str">
        <f t="shared" si="65"/>
        <v>UP</v>
      </c>
      <c r="Y567">
        <v>1.1801999807357699</v>
      </c>
      <c r="Z567" t="str">
        <f t="shared" si="66"/>
        <v>DOWN</v>
      </c>
      <c r="AA567">
        <v>0</v>
      </c>
      <c r="AB567">
        <v>0</v>
      </c>
      <c r="AC567">
        <v>0</v>
      </c>
      <c r="AD567">
        <v>0</v>
      </c>
    </row>
    <row r="568" spans="1:30" hidden="1" x14ac:dyDescent="0.35">
      <c r="A568" s="2">
        <v>45911</v>
      </c>
      <c r="B568" t="s">
        <v>39</v>
      </c>
      <c r="C568">
        <v>1.1798000335693299</v>
      </c>
      <c r="D568">
        <v>1.1802500486373899</v>
      </c>
      <c r="E568">
        <v>1.1797499656677199</v>
      </c>
      <c r="F568">
        <v>1.1800500154495199</v>
      </c>
      <c r="G568">
        <v>2729</v>
      </c>
      <c r="H568">
        <v>1.1798300027847199</v>
      </c>
      <c r="I568" s="1">
        <v>6.0009956359907602E-5</v>
      </c>
      <c r="J568" t="str">
        <f t="shared" si="67"/>
        <v>UP</v>
      </c>
      <c r="K568">
        <v>1.17721900463104</v>
      </c>
      <c r="L568" s="1">
        <v>2.5000572204669698E-5</v>
      </c>
      <c r="M568" t="str">
        <f t="shared" si="68"/>
        <v>UP</v>
      </c>
      <c r="N568">
        <v>2.6109981536865902E-3</v>
      </c>
      <c r="O568" t="str">
        <f t="shared" si="69"/>
        <v>UP</v>
      </c>
      <c r="P568">
        <v>61.881286143834799</v>
      </c>
      <c r="Q568">
        <v>-1.4800940888221901</v>
      </c>
      <c r="R568" t="str">
        <f t="shared" si="70"/>
        <v>DOWN</v>
      </c>
      <c r="S568">
        <v>1.17960000038146</v>
      </c>
      <c r="T568" t="str">
        <f t="shared" si="64"/>
        <v>UP</v>
      </c>
      <c r="U568">
        <v>1.1793999671936</v>
      </c>
      <c r="V568" t="str">
        <f t="shared" si="71"/>
        <v>UP</v>
      </c>
      <c r="W568">
        <v>1.1801999807357699</v>
      </c>
      <c r="X568" t="str">
        <f t="shared" si="65"/>
        <v>UP</v>
      </c>
      <c r="Y568">
        <v>1.1801500320434499</v>
      </c>
      <c r="Z568" t="str">
        <f t="shared" si="66"/>
        <v>UP</v>
      </c>
      <c r="AA568">
        <v>0</v>
      </c>
      <c r="AB568">
        <v>0</v>
      </c>
      <c r="AC568">
        <v>0</v>
      </c>
      <c r="AD568">
        <v>0</v>
      </c>
    </row>
    <row r="569" spans="1:30" hidden="1" x14ac:dyDescent="0.35">
      <c r="A569" s="2">
        <v>45911</v>
      </c>
      <c r="B569" t="s">
        <v>40</v>
      </c>
      <c r="C569">
        <v>1.1801500320434499</v>
      </c>
      <c r="D569">
        <v>1.1803499460220299</v>
      </c>
      <c r="E569">
        <v>1.1797000169753999</v>
      </c>
      <c r="F569">
        <v>1.1798000335693299</v>
      </c>
      <c r="G569">
        <v>0</v>
      </c>
      <c r="H569">
        <v>1.1798700094223</v>
      </c>
      <c r="I569" s="1">
        <v>4.0006637573197697E-5</v>
      </c>
      <c r="J569" t="str">
        <f t="shared" si="67"/>
        <v>UP</v>
      </c>
      <c r="K569">
        <v>1.1772700047492899</v>
      </c>
      <c r="L569" s="1">
        <v>5.1000118255650701E-5</v>
      </c>
      <c r="M569" t="str">
        <f t="shared" si="68"/>
        <v>UP</v>
      </c>
      <c r="N569">
        <v>2.6000046730041402E-3</v>
      </c>
      <c r="O569" t="str">
        <f t="shared" si="69"/>
        <v>UP</v>
      </c>
      <c r="P569">
        <v>63.489309716536098</v>
      </c>
      <c r="Q569">
        <v>1.6080235727012899</v>
      </c>
      <c r="R569" t="str">
        <f t="shared" si="70"/>
        <v>UP</v>
      </c>
      <c r="S569">
        <v>1.1797499656677199</v>
      </c>
      <c r="T569" t="str">
        <f t="shared" si="64"/>
        <v>DOWN</v>
      </c>
      <c r="U569">
        <v>1.17960000038146</v>
      </c>
      <c r="V569" t="str">
        <f t="shared" si="71"/>
        <v>UP</v>
      </c>
      <c r="W569">
        <v>1.1802500486373899</v>
      </c>
      <c r="X569" t="str">
        <f t="shared" si="65"/>
        <v>UP</v>
      </c>
      <c r="Y569">
        <v>1.1801999807357699</v>
      </c>
      <c r="Z569" t="str">
        <f t="shared" si="66"/>
        <v>UP</v>
      </c>
      <c r="AA569">
        <v>0</v>
      </c>
      <c r="AB569">
        <v>0</v>
      </c>
      <c r="AC569">
        <v>0</v>
      </c>
      <c r="AD569">
        <v>0</v>
      </c>
    </row>
    <row r="570" spans="1:30" hidden="1" x14ac:dyDescent="0.35">
      <c r="A570" s="2">
        <v>45911</v>
      </c>
      <c r="B570" t="s">
        <v>42</v>
      </c>
      <c r="C570">
        <v>1.17949998378753</v>
      </c>
      <c r="D570">
        <v>1.1802500486373899</v>
      </c>
      <c r="E570">
        <v>1.17949998378753</v>
      </c>
      <c r="F570">
        <v>1.1801500320434499</v>
      </c>
      <c r="G570">
        <v>626</v>
      </c>
      <c r="H570">
        <v>1.1798700094223</v>
      </c>
      <c r="I570">
        <v>0</v>
      </c>
      <c r="J570" t="str">
        <f t="shared" si="67"/>
        <v>DOWN</v>
      </c>
      <c r="K570">
        <v>1.1773130035400301</v>
      </c>
      <c r="L570" s="1">
        <v>4.2998790740877898E-5</v>
      </c>
      <c r="M570" t="str">
        <f t="shared" si="68"/>
        <v>UP</v>
      </c>
      <c r="N570">
        <v>2.5570058822632601E-3</v>
      </c>
      <c r="O570" t="str">
        <f t="shared" si="69"/>
        <v>UP</v>
      </c>
      <c r="P570">
        <v>58.549171962209797</v>
      </c>
      <c r="Q570">
        <v>-4.9401377543263196</v>
      </c>
      <c r="R570" t="str">
        <f t="shared" si="70"/>
        <v>DOWN</v>
      </c>
      <c r="S570">
        <v>1.1797000169753999</v>
      </c>
      <c r="T570" t="str">
        <f t="shared" si="64"/>
        <v>DOWN</v>
      </c>
      <c r="U570">
        <v>1.1797499656677199</v>
      </c>
      <c r="V570" t="str">
        <f t="shared" si="71"/>
        <v>DOWN</v>
      </c>
      <c r="W570">
        <v>1.1803499460220299</v>
      </c>
      <c r="X570" t="str">
        <f t="shared" si="65"/>
        <v>DOWN</v>
      </c>
      <c r="Y570">
        <v>1.1802500486373899</v>
      </c>
      <c r="Z570" t="str">
        <f t="shared" si="66"/>
        <v>DOWN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s="2">
        <v>45912</v>
      </c>
      <c r="B571" t="s">
        <v>29</v>
      </c>
      <c r="C571">
        <v>1.17955005168914</v>
      </c>
      <c r="D571">
        <v>1.1797000169753999</v>
      </c>
      <c r="E571">
        <v>1.17900002002716</v>
      </c>
      <c r="F571">
        <v>1.17949998378753</v>
      </c>
      <c r="G571">
        <v>2663</v>
      </c>
      <c r="H571">
        <v>1.1798000097274699</v>
      </c>
      <c r="I571" s="1">
        <v>-6.9999694824129905E-5</v>
      </c>
      <c r="J571" t="str">
        <f t="shared" si="67"/>
        <v>DOWN</v>
      </c>
      <c r="K571">
        <v>1.17735800504684</v>
      </c>
      <c r="L571" s="1">
        <v>4.5001506805419902E-5</v>
      </c>
      <c r="M571" t="str">
        <f t="shared" si="68"/>
        <v>UP</v>
      </c>
      <c r="N571">
        <v>2.4420046806337102E-3</v>
      </c>
      <c r="O571" t="str">
        <f t="shared" si="69"/>
        <v>UP</v>
      </c>
      <c r="P571">
        <v>58.814984926942799</v>
      </c>
      <c r="Q571">
        <v>0.26581296473302202</v>
      </c>
      <c r="R571" t="str">
        <f t="shared" si="70"/>
        <v>UP</v>
      </c>
      <c r="S571">
        <v>1.17949998378753</v>
      </c>
      <c r="T571" t="str">
        <f t="shared" si="64"/>
        <v>DOWN</v>
      </c>
      <c r="U571">
        <v>1.1797000169753999</v>
      </c>
      <c r="V571" t="str">
        <f>IF((E571-U571)&lt;0,"DOWN","UP")</f>
        <v>DOWN</v>
      </c>
      <c r="W571">
        <v>1.1802500486373899</v>
      </c>
      <c r="X571" t="str">
        <f t="shared" si="65"/>
        <v>DOWN</v>
      </c>
      <c r="Y571">
        <v>1.1803499460220299</v>
      </c>
      <c r="Z571" t="str">
        <f>IF((D571-Y571)&gt;0,"UP","DOWN")</f>
        <v>DOWN</v>
      </c>
      <c r="AA571">
        <v>1</v>
      </c>
      <c r="AB571">
        <v>0</v>
      </c>
      <c r="AC571">
        <v>0</v>
      </c>
      <c r="AD571">
        <v>0</v>
      </c>
    </row>
    <row r="572" spans="1:30" hidden="1" x14ac:dyDescent="0.35">
      <c r="A572" s="2">
        <v>45912</v>
      </c>
      <c r="B572" t="s">
        <v>30</v>
      </c>
      <c r="C572">
        <v>1.1788500547409</v>
      </c>
      <c r="D572">
        <v>1.1796499490737899</v>
      </c>
      <c r="E572">
        <v>1.17879998683929</v>
      </c>
      <c r="F572">
        <v>1.17960000038146</v>
      </c>
      <c r="G572">
        <v>1999</v>
      </c>
      <c r="H572">
        <v>1.17957003116607</v>
      </c>
      <c r="I572">
        <v>-2.2997856140150001E-4</v>
      </c>
      <c r="J572" t="str">
        <f t="shared" si="67"/>
        <v>DOWN</v>
      </c>
      <c r="K572">
        <v>1.1773850059509201</v>
      </c>
      <c r="L572" s="1">
        <v>2.7000904083251899E-5</v>
      </c>
      <c r="M572" t="str">
        <f t="shared" si="68"/>
        <v>UP</v>
      </c>
      <c r="N572">
        <v>2.18502521514896E-3</v>
      </c>
      <c r="O572" t="str">
        <f t="shared" si="69"/>
        <v>UP</v>
      </c>
      <c r="P572">
        <v>53.6362596485952</v>
      </c>
      <c r="Q572">
        <v>-5.1787252783475903</v>
      </c>
      <c r="R572" t="str">
        <f t="shared" si="70"/>
        <v>DOWN</v>
      </c>
      <c r="S572">
        <v>1.17900002002716</v>
      </c>
      <c r="T572" t="str">
        <f t="shared" si="64"/>
        <v>DOWN</v>
      </c>
      <c r="U572">
        <v>1.17949998378753</v>
      </c>
      <c r="V572" t="str">
        <f t="shared" ref="V572:V574" si="72">IF((E572-U572)&lt;0,"DOWN","UP")</f>
        <v>DOWN</v>
      </c>
      <c r="W572">
        <v>1.1797000169753999</v>
      </c>
      <c r="X572" t="str">
        <f t="shared" si="65"/>
        <v>DOWN</v>
      </c>
      <c r="Y572">
        <v>1.1802500486373899</v>
      </c>
      <c r="Z572" t="str">
        <f t="shared" ref="Z572:Z574" si="73">IF((D572-Y572)&gt;0,"UP","DOWN")</f>
        <v>DOWN</v>
      </c>
      <c r="AA572">
        <v>0</v>
      </c>
      <c r="AB572">
        <v>0</v>
      </c>
      <c r="AC572">
        <v>0</v>
      </c>
      <c r="AD572">
        <v>0</v>
      </c>
    </row>
    <row r="573" spans="1:30" hidden="1" x14ac:dyDescent="0.35">
      <c r="A573" s="2">
        <v>45912</v>
      </c>
      <c r="B573" t="s">
        <v>31</v>
      </c>
      <c r="C573">
        <v>1.17900002002716</v>
      </c>
      <c r="D573">
        <v>1.17914998531341</v>
      </c>
      <c r="E573">
        <v>1.17859995365142</v>
      </c>
      <c r="F573">
        <v>1.1788500547409</v>
      </c>
      <c r="G573">
        <v>2305</v>
      </c>
      <c r="H573">
        <v>1.1794100284576401</v>
      </c>
      <c r="I573">
        <v>-1.6000270843496899E-4</v>
      </c>
      <c r="J573" t="str">
        <f t="shared" si="67"/>
        <v>DOWN</v>
      </c>
      <c r="K573">
        <v>1.1774090051651001</v>
      </c>
      <c r="L573" s="1">
        <v>2.3999214172398802E-5</v>
      </c>
      <c r="M573" t="str">
        <f t="shared" si="68"/>
        <v>UP</v>
      </c>
      <c r="N573">
        <v>2.0010232925415901E-3</v>
      </c>
      <c r="O573" t="str">
        <f t="shared" si="69"/>
        <v>UP</v>
      </c>
      <c r="P573">
        <v>54.559380173550899</v>
      </c>
      <c r="Q573">
        <v>0.92312052495569896</v>
      </c>
      <c r="R573" t="str">
        <f t="shared" si="70"/>
        <v>UP</v>
      </c>
      <c r="S573">
        <v>1.17879998683929</v>
      </c>
      <c r="T573" t="str">
        <f t="shared" si="64"/>
        <v>DOWN</v>
      </c>
      <c r="U573">
        <v>1.17900002002716</v>
      </c>
      <c r="V573" t="str">
        <f t="shared" si="72"/>
        <v>DOWN</v>
      </c>
      <c r="W573">
        <v>1.1796499490737899</v>
      </c>
      <c r="X573" t="str">
        <f t="shared" si="65"/>
        <v>DOWN</v>
      </c>
      <c r="Y573">
        <v>1.1797000169753999</v>
      </c>
      <c r="Z573" t="str">
        <f t="shared" si="73"/>
        <v>DOWN</v>
      </c>
      <c r="AA573">
        <v>0</v>
      </c>
      <c r="AB573">
        <v>0</v>
      </c>
      <c r="AC573">
        <v>0</v>
      </c>
      <c r="AD573">
        <v>0</v>
      </c>
    </row>
    <row r="574" spans="1:30" hidden="1" x14ac:dyDescent="0.35">
      <c r="A574" s="2">
        <v>45912</v>
      </c>
      <c r="B574" t="s">
        <v>32</v>
      </c>
      <c r="C574">
        <v>1.17875003814697</v>
      </c>
      <c r="D574">
        <v>1.17894995212554</v>
      </c>
      <c r="E574">
        <v>1.1785500049591</v>
      </c>
      <c r="F574">
        <v>1.17890000343322</v>
      </c>
      <c r="G574">
        <v>2122</v>
      </c>
      <c r="H574">
        <v>1.17913002967834</v>
      </c>
      <c r="I574">
        <v>-2.79998779296963E-4</v>
      </c>
      <c r="J574" t="str">
        <f t="shared" si="67"/>
        <v>DOWN</v>
      </c>
      <c r="K574">
        <v>1.17744600534439</v>
      </c>
      <c r="L574" s="1">
        <v>3.7000179290869103E-5</v>
      </c>
      <c r="M574" t="str">
        <f t="shared" si="68"/>
        <v>UP</v>
      </c>
      <c r="N574">
        <v>1.68402433395375E-3</v>
      </c>
      <c r="O574" t="str">
        <f t="shared" si="69"/>
        <v>UP</v>
      </c>
      <c r="P574">
        <v>52.676597763069601</v>
      </c>
      <c r="Q574">
        <v>-1.88278241048134</v>
      </c>
      <c r="R574" t="str">
        <f t="shared" si="70"/>
        <v>DOWN</v>
      </c>
      <c r="S574">
        <v>1.17859995365142</v>
      </c>
      <c r="T574" t="str">
        <f t="shared" si="64"/>
        <v>DOWN</v>
      </c>
      <c r="U574">
        <v>1.17879998683929</v>
      </c>
      <c r="V574" t="str">
        <f t="shared" si="72"/>
        <v>DOWN</v>
      </c>
      <c r="W574">
        <v>1.17914998531341</v>
      </c>
      <c r="X574" t="str">
        <f t="shared" si="65"/>
        <v>DOWN</v>
      </c>
      <c r="Y574">
        <v>1.1796499490737899</v>
      </c>
      <c r="Z574" t="str">
        <f t="shared" si="73"/>
        <v>DOWN</v>
      </c>
      <c r="AA574">
        <v>0</v>
      </c>
      <c r="AB574">
        <v>1</v>
      </c>
      <c r="AC574">
        <v>0</v>
      </c>
      <c r="AD574">
        <v>0</v>
      </c>
    </row>
  </sheetData>
  <autoFilter ref="A1:AD574" xr:uid="{024482A7-E07D-4C4D-842F-4899FE24DC8B}">
    <filterColumn colId="25">
      <filters>
        <filter val="DOWN"/>
      </filters>
    </filterColumn>
    <filterColumn colId="26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B005-A6D8-480F-A077-D1C287462462}">
  <dimension ref="B1:C24"/>
  <sheetViews>
    <sheetView topLeftCell="A16" workbookViewId="0">
      <selection activeCell="C21" sqref="C21:C22"/>
    </sheetView>
  </sheetViews>
  <sheetFormatPr baseColWidth="10" defaultRowHeight="14.5" x14ac:dyDescent="0.35"/>
  <cols>
    <col min="2" max="2" width="32.90625" bestFit="1" customWidth="1"/>
    <col min="3" max="3" width="20.1796875" bestFit="1" customWidth="1"/>
  </cols>
  <sheetData>
    <row r="1" spans="2:3" x14ac:dyDescent="0.35">
      <c r="B1" s="3" t="s">
        <v>16</v>
      </c>
      <c r="C1" s="4">
        <v>1</v>
      </c>
    </row>
    <row r="3" spans="2:3" x14ac:dyDescent="0.35">
      <c r="B3" s="3" t="s">
        <v>49</v>
      </c>
      <c r="C3" t="s">
        <v>53</v>
      </c>
    </row>
    <row r="4" spans="2:3" x14ac:dyDescent="0.35">
      <c r="B4" s="4" t="s">
        <v>50</v>
      </c>
      <c r="C4" s="5">
        <v>9</v>
      </c>
    </row>
    <row r="5" spans="2:3" x14ac:dyDescent="0.35">
      <c r="B5" s="4" t="s">
        <v>51</v>
      </c>
      <c r="C5" s="5">
        <v>26</v>
      </c>
    </row>
    <row r="6" spans="2:3" x14ac:dyDescent="0.35">
      <c r="B6" s="4" t="s">
        <v>52</v>
      </c>
      <c r="C6" s="5">
        <v>35</v>
      </c>
    </row>
    <row r="9" spans="2:3" x14ac:dyDescent="0.35">
      <c r="B9" s="3" t="s">
        <v>16</v>
      </c>
      <c r="C9" s="4">
        <v>1</v>
      </c>
    </row>
    <row r="11" spans="2:3" x14ac:dyDescent="0.35">
      <c r="B11" s="3" t="s">
        <v>49</v>
      </c>
      <c r="C11" t="s">
        <v>54</v>
      </c>
    </row>
    <row r="12" spans="2:3" x14ac:dyDescent="0.35">
      <c r="B12" s="4" t="s">
        <v>50</v>
      </c>
      <c r="C12" s="5">
        <v>9</v>
      </c>
    </row>
    <row r="13" spans="2:3" x14ac:dyDescent="0.35">
      <c r="B13" s="4" t="s">
        <v>51</v>
      </c>
      <c r="C13" s="5">
        <v>26</v>
      </c>
    </row>
    <row r="14" spans="2:3" x14ac:dyDescent="0.35">
      <c r="B14" s="4" t="s">
        <v>52</v>
      </c>
      <c r="C14" s="5">
        <v>35</v>
      </c>
    </row>
    <row r="17" spans="2:3" x14ac:dyDescent="0.35">
      <c r="B17" s="3" t="s">
        <v>16</v>
      </c>
      <c r="C17" s="4">
        <v>1</v>
      </c>
    </row>
    <row r="19" spans="2:3" x14ac:dyDescent="0.35">
      <c r="B19" s="3" t="s">
        <v>49</v>
      </c>
      <c r="C19" t="s">
        <v>55</v>
      </c>
    </row>
    <row r="20" spans="2:3" x14ac:dyDescent="0.35">
      <c r="B20" s="4" t="s">
        <v>56</v>
      </c>
      <c r="C20" s="5">
        <v>6</v>
      </c>
    </row>
    <row r="21" spans="2:3" x14ac:dyDescent="0.35">
      <c r="B21" s="4" t="s">
        <v>57</v>
      </c>
      <c r="C21" s="5">
        <v>15</v>
      </c>
    </row>
    <row r="22" spans="2:3" x14ac:dyDescent="0.35">
      <c r="B22" s="4" t="s">
        <v>58</v>
      </c>
      <c r="C22" s="5">
        <v>11</v>
      </c>
    </row>
    <row r="23" spans="2:3" x14ac:dyDescent="0.35">
      <c r="B23" s="4" t="s">
        <v>59</v>
      </c>
      <c r="C23" s="5">
        <v>3</v>
      </c>
    </row>
    <row r="24" spans="2:3" x14ac:dyDescent="0.35">
      <c r="B24" s="4" t="s">
        <v>52</v>
      </c>
      <c r="C24" s="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predictions</vt:lpstr>
      <vt:lpstr>Analisys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Alberto Cortes Zambrano</cp:lastModifiedBy>
  <dcterms:created xsi:type="dcterms:W3CDTF">2025-09-13T16:42:42Z</dcterms:created>
  <dcterms:modified xsi:type="dcterms:W3CDTF">2025-09-15T12:50:37Z</dcterms:modified>
</cp:coreProperties>
</file>